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comments14.xml" ContentType="application/vnd.openxmlformats-officedocument.spreadsheetml.comments+xml"/>
  <Override PartName="/xl/drawings/drawing17.xml" ContentType="application/vnd.openxmlformats-officedocument.drawing+xml"/>
  <Override PartName="/xl/comments15.xml" ContentType="application/vnd.openxmlformats-officedocument.spreadsheetml.comments+xml"/>
  <Override PartName="/xl/drawings/drawing18.xml" ContentType="application/vnd.openxmlformats-officedocument.drawing+xml"/>
  <Override PartName="/xl/comments16.xml" ContentType="application/vnd.openxmlformats-officedocument.spreadsheetml.comments+xml"/>
  <Override PartName="/xl/drawings/drawing19.xml" ContentType="application/vnd.openxmlformats-officedocument.drawing+xml"/>
  <Override PartName="/xl/comments17.xml" ContentType="application/vnd.openxmlformats-officedocument.spreadsheetml.comments+xml"/>
  <Override PartName="/xl/drawings/drawing20.xml" ContentType="application/vnd.openxmlformats-officedocument.drawing+xml"/>
  <Override PartName="/xl/comments18.xml" ContentType="application/vnd.openxmlformats-officedocument.spreadsheetml.comments+xml"/>
  <Override PartName="/xl/drawings/drawing21.xml" ContentType="application/vnd.openxmlformats-officedocument.drawing+xml"/>
  <Override PartName="/xl/comments19.xml" ContentType="application/vnd.openxmlformats-officedocument.spreadsheetml.comments+xml"/>
  <Override PartName="/xl/drawings/drawing22.xml" ContentType="application/vnd.openxmlformats-officedocument.drawing+xml"/>
  <Override PartName="/xl/comments20.xml" ContentType="application/vnd.openxmlformats-officedocument.spreadsheetml.comments+xml"/>
  <Override PartName="/xl/drawings/drawing23.xml" ContentType="application/vnd.openxmlformats-officedocument.drawing+xml"/>
  <Override PartName="/xl/comments21.xml" ContentType="application/vnd.openxmlformats-officedocument.spreadsheetml.comments+xml"/>
  <Override PartName="/xl/drawings/drawing24.xml" ContentType="application/vnd.openxmlformats-officedocument.drawing+xml"/>
  <Override PartName="/xl/comments22.xml" ContentType="application/vnd.openxmlformats-officedocument.spreadsheetml.comments+xml"/>
  <Override PartName="/xl/drawings/drawing25.xml" ContentType="application/vnd.openxmlformats-officedocument.drawing+xml"/>
  <Override PartName="/xl/comments23.xml" ContentType="application/vnd.openxmlformats-officedocument.spreadsheetml.comments+xml"/>
  <Override PartName="/xl/drawings/drawing26.xml" ContentType="application/vnd.openxmlformats-officedocument.drawing+xml"/>
  <Override PartName="/xl/comments24.xml" ContentType="application/vnd.openxmlformats-officedocument.spreadsheetml.comments+xml"/>
  <Override PartName="/xl/drawings/drawing27.xml" ContentType="application/vnd.openxmlformats-officedocument.drawing+xml"/>
  <Override PartName="/xl/comments25.xml" ContentType="application/vnd.openxmlformats-officedocument.spreadsheetml.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abri\OneDrive\Área de Trabalho\Excel Planilhas\"/>
    </mc:Choice>
  </mc:AlternateContent>
  <xr:revisionPtr revIDLastSave="0" documentId="13_ncr:1_{D7720255-0CE2-4A3C-B416-7D628F9A22A4}" xr6:coauthVersionLast="47" xr6:coauthVersionMax="47" xr10:uidLastSave="{00000000-0000-0000-0000-000000000000}"/>
  <bookViews>
    <workbookView xWindow="-120" yWindow="-120" windowWidth="29040" windowHeight="15840" firstSheet="3" activeTab="3" xr2:uid="{1D911FB6-3085-4D5A-B10A-F16B569046E9}"/>
  </bookViews>
  <sheets>
    <sheet name="Dados" sheetId="68" r:id="rId1"/>
    <sheet name="Personalização" sheetId="72" r:id="rId2"/>
    <sheet name="Gráfico" sheetId="75" r:id="rId3"/>
    <sheet name="Janeiro" sheetId="53" r:id="rId4"/>
    <sheet name="Fevereiro" sheetId="150" r:id="rId5"/>
    <sheet name="Março" sheetId="151" r:id="rId6"/>
    <sheet name="Abril" sheetId="152" r:id="rId7"/>
    <sheet name="Maio" sheetId="153" r:id="rId8"/>
    <sheet name="Junho" sheetId="161" r:id="rId9"/>
    <sheet name="Julho" sheetId="162" r:id="rId10"/>
    <sheet name="Agosto" sheetId="168" r:id="rId11"/>
    <sheet name="Setembro" sheetId="163" r:id="rId12"/>
    <sheet name="Outubro" sheetId="164" r:id="rId13"/>
    <sheet name="Novembro" sheetId="165" r:id="rId14"/>
    <sheet name="Dezembro" sheetId="166" r:id="rId15"/>
    <sheet name="January" sheetId="149" r:id="rId16"/>
    <sheet name="February" sheetId="169" r:id="rId17"/>
    <sheet name="March" sheetId="170" r:id="rId18"/>
    <sheet name="April" sheetId="171" r:id="rId19"/>
    <sheet name="May" sheetId="172" r:id="rId20"/>
    <sheet name="June" sheetId="173" r:id="rId21"/>
    <sheet name="July" sheetId="174" r:id="rId22"/>
    <sheet name="August" sheetId="175" r:id="rId23"/>
    <sheet name="September" sheetId="176" r:id="rId24"/>
    <sheet name="October" sheetId="177" r:id="rId25"/>
    <sheet name="November" sheetId="178" r:id="rId26"/>
    <sheet name="December" sheetId="179" r:id="rId27"/>
  </sheets>
  <functionGroups builtInGroupCount="19"/>
  <definedNames>
    <definedName name="_xlnm._FilterDatabase" localSheetId="0" hidden="1">Dados!$B$33:$W$58</definedName>
    <definedName name="_xlchart.v2.0" hidden="1">Gráfico!$N$18:$N$33</definedName>
    <definedName name="_xlchart.v2.1" hidden="1">Gráfico!$O$18:$O$33</definedName>
    <definedName name="_xleta.AND" hidden="1" xlm="1">#NAME?</definedName>
    <definedName name="_xleta.IF" hidden="1" xlm="1">#NAME?</definedName>
    <definedName name="_xleta.INDEX" hidden="1" xlm="1">#NAME?</definedName>
    <definedName name="_xleta.LARGE" hidden="1" xlm="1">#NAME?</definedName>
    <definedName name="_xleta.N" hidden="1" xlm="1">#NAME?</definedName>
    <definedName name="_xleta.ROW" hidden="1" xlm="1">#NAME?</definedName>
    <definedName name="_xleta.SMALL" hidden="1" xlm="1">#NAME?</definedName>
    <definedName name="_xleta.SUM" hidden="1" xlm="1">#NAME?</definedName>
    <definedName name="_xleta.T" hidden="1" xlm="1">#NAME?</definedName>
    <definedName name="ListaEditar">OFFSET(Dados!$O$5, 0, 0, COUNTA(Dados!$O$5:$O$25))</definedName>
    <definedName name="ListaValida">OFFSET(Dados!$B$12, 0, 0, COUNTA(Dados!$B$12:$B$30))</definedName>
    <definedName name="SegmentaçãodeDados_Ano">#N/A</definedName>
    <definedName name="SegmentaçãodeDados_Meses1">#N/A</definedName>
  </definedNames>
  <calcPr calcId="191028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8"/>
        <x14:slicerCache r:id="rId29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7" i="179" l="1"/>
  <c r="O98" i="179"/>
  <c r="O99" i="179"/>
  <c r="O100" i="179"/>
  <c r="O101" i="179"/>
  <c r="O102" i="179"/>
  <c r="O103" i="179"/>
  <c r="O104" i="179"/>
  <c r="O105" i="179"/>
  <c r="O106" i="179"/>
  <c r="O107" i="179"/>
  <c r="O108" i="179"/>
  <c r="O109" i="179"/>
  <c r="O110" i="179"/>
  <c r="O111" i="179"/>
  <c r="O112" i="179"/>
  <c r="O113" i="179"/>
  <c r="O114" i="179"/>
  <c r="O115" i="179"/>
  <c r="O116" i="179"/>
  <c r="O117" i="179"/>
  <c r="O118" i="179"/>
  <c r="O119" i="179"/>
  <c r="O120" i="179"/>
  <c r="O121" i="179"/>
  <c r="O122" i="179"/>
  <c r="O123" i="179"/>
  <c r="O124" i="179"/>
  <c r="O125" i="179"/>
  <c r="O96" i="179"/>
  <c r="O60" i="179"/>
  <c r="O61" i="179"/>
  <c r="O62" i="179"/>
  <c r="O63" i="179"/>
  <c r="O64" i="179"/>
  <c r="O65" i="179"/>
  <c r="O66" i="179"/>
  <c r="O67" i="179"/>
  <c r="O68" i="179"/>
  <c r="O69" i="179"/>
  <c r="O70" i="179"/>
  <c r="O71" i="179"/>
  <c r="O72" i="179"/>
  <c r="O73" i="179"/>
  <c r="O74" i="179"/>
  <c r="O75" i="179"/>
  <c r="O76" i="179"/>
  <c r="O77" i="179"/>
  <c r="O78" i="179"/>
  <c r="O79" i="179"/>
  <c r="O80" i="179"/>
  <c r="O81" i="179"/>
  <c r="O82" i="179"/>
  <c r="O83" i="179"/>
  <c r="O84" i="179"/>
  <c r="O85" i="179"/>
  <c r="O86" i="179"/>
  <c r="O87" i="179"/>
  <c r="O88" i="179"/>
  <c r="O23" i="179"/>
  <c r="O24" i="179"/>
  <c r="O25" i="179"/>
  <c r="O26" i="179"/>
  <c r="O27" i="179"/>
  <c r="O28" i="179"/>
  <c r="O29" i="179"/>
  <c r="O30" i="179"/>
  <c r="O31" i="179"/>
  <c r="O32" i="179"/>
  <c r="O33" i="179"/>
  <c r="O34" i="179"/>
  <c r="O35" i="179"/>
  <c r="O36" i="179"/>
  <c r="O37" i="179"/>
  <c r="O38" i="179"/>
  <c r="O39" i="179"/>
  <c r="O40" i="179"/>
  <c r="O41" i="179"/>
  <c r="O42" i="179"/>
  <c r="O43" i="179"/>
  <c r="O44" i="179"/>
  <c r="O45" i="179"/>
  <c r="O46" i="179"/>
  <c r="O47" i="179"/>
  <c r="O48" i="179"/>
  <c r="O49" i="179"/>
  <c r="O50" i="179"/>
  <c r="O51" i="179"/>
  <c r="O97" i="178"/>
  <c r="O98" i="178"/>
  <c r="O99" i="178"/>
  <c r="O100" i="178"/>
  <c r="O101" i="178"/>
  <c r="O102" i="178"/>
  <c r="O103" i="178"/>
  <c r="O104" i="178"/>
  <c r="O105" i="178"/>
  <c r="O106" i="178"/>
  <c r="O107" i="178"/>
  <c r="O108" i="178"/>
  <c r="O109" i="178"/>
  <c r="O110" i="178"/>
  <c r="O111" i="178"/>
  <c r="O112" i="178"/>
  <c r="O113" i="178"/>
  <c r="O114" i="178"/>
  <c r="O115" i="178"/>
  <c r="O116" i="178"/>
  <c r="O117" i="178"/>
  <c r="O118" i="178"/>
  <c r="O119" i="178"/>
  <c r="O120" i="178"/>
  <c r="O121" i="178"/>
  <c r="O122" i="178"/>
  <c r="O123" i="178"/>
  <c r="O124" i="178"/>
  <c r="O125" i="178"/>
  <c r="O96" i="178"/>
  <c r="O60" i="178"/>
  <c r="O61" i="178"/>
  <c r="O62" i="178"/>
  <c r="O63" i="178"/>
  <c r="O64" i="178"/>
  <c r="O65" i="178"/>
  <c r="O66" i="178"/>
  <c r="O67" i="178"/>
  <c r="O68" i="178"/>
  <c r="O69" i="178"/>
  <c r="O70" i="178"/>
  <c r="O71" i="178"/>
  <c r="O72" i="178"/>
  <c r="O73" i="178"/>
  <c r="O74" i="178"/>
  <c r="O75" i="178"/>
  <c r="O76" i="178"/>
  <c r="O77" i="178"/>
  <c r="O78" i="178"/>
  <c r="O79" i="178"/>
  <c r="O80" i="178"/>
  <c r="O81" i="178"/>
  <c r="O82" i="178"/>
  <c r="O83" i="178"/>
  <c r="O84" i="178"/>
  <c r="O85" i="178"/>
  <c r="O86" i="178"/>
  <c r="O87" i="178"/>
  <c r="O88" i="178"/>
  <c r="O23" i="178"/>
  <c r="O24" i="178"/>
  <c r="O25" i="178"/>
  <c r="O26" i="178"/>
  <c r="O27" i="178"/>
  <c r="O28" i="178"/>
  <c r="O29" i="178"/>
  <c r="O30" i="178"/>
  <c r="O31" i="178"/>
  <c r="O32" i="178"/>
  <c r="O33" i="178"/>
  <c r="O34" i="178"/>
  <c r="O35" i="178"/>
  <c r="O36" i="178"/>
  <c r="O37" i="178"/>
  <c r="O38" i="178"/>
  <c r="O39" i="178"/>
  <c r="O40" i="178"/>
  <c r="O41" i="178"/>
  <c r="O42" i="178"/>
  <c r="O43" i="178"/>
  <c r="O44" i="178"/>
  <c r="O45" i="178"/>
  <c r="O46" i="178"/>
  <c r="O47" i="178"/>
  <c r="O48" i="178"/>
  <c r="O49" i="178"/>
  <c r="O50" i="178"/>
  <c r="O51" i="178"/>
  <c r="O97" i="177"/>
  <c r="O98" i="177"/>
  <c r="O99" i="177"/>
  <c r="O100" i="177"/>
  <c r="O101" i="177"/>
  <c r="O102" i="177"/>
  <c r="O103" i="177"/>
  <c r="O104" i="177"/>
  <c r="O105" i="177"/>
  <c r="O106" i="177"/>
  <c r="O107" i="177"/>
  <c r="O108" i="177"/>
  <c r="O109" i="177"/>
  <c r="O110" i="177"/>
  <c r="O111" i="177"/>
  <c r="O112" i="177"/>
  <c r="O113" i="177"/>
  <c r="O114" i="177"/>
  <c r="O115" i="177"/>
  <c r="O116" i="177"/>
  <c r="O117" i="177"/>
  <c r="O118" i="177"/>
  <c r="O119" i="177"/>
  <c r="O120" i="177"/>
  <c r="O121" i="177"/>
  <c r="O122" i="177"/>
  <c r="O123" i="177"/>
  <c r="O124" i="177"/>
  <c r="O125" i="177"/>
  <c r="O96" i="177"/>
  <c r="O60" i="177"/>
  <c r="O61" i="177"/>
  <c r="O62" i="177"/>
  <c r="O63" i="177"/>
  <c r="O64" i="177"/>
  <c r="O65" i="177"/>
  <c r="O66" i="177"/>
  <c r="O67" i="177"/>
  <c r="O68" i="177"/>
  <c r="O69" i="177"/>
  <c r="O70" i="177"/>
  <c r="O71" i="177"/>
  <c r="O72" i="177"/>
  <c r="O73" i="177"/>
  <c r="O74" i="177"/>
  <c r="O75" i="177"/>
  <c r="O76" i="177"/>
  <c r="O77" i="177"/>
  <c r="O78" i="177"/>
  <c r="O79" i="177"/>
  <c r="O80" i="177"/>
  <c r="O81" i="177"/>
  <c r="O82" i="177"/>
  <c r="O83" i="177"/>
  <c r="O84" i="177"/>
  <c r="O85" i="177"/>
  <c r="O86" i="177"/>
  <c r="O87" i="177"/>
  <c r="O88" i="177"/>
  <c r="O23" i="177"/>
  <c r="O24" i="177"/>
  <c r="O25" i="177"/>
  <c r="O26" i="177"/>
  <c r="O27" i="177"/>
  <c r="O28" i="177"/>
  <c r="O29" i="177"/>
  <c r="O30" i="177"/>
  <c r="O31" i="177"/>
  <c r="O32" i="177"/>
  <c r="O33" i="177"/>
  <c r="O34" i="177"/>
  <c r="O35" i="177"/>
  <c r="O36" i="177"/>
  <c r="O37" i="177"/>
  <c r="O38" i="177"/>
  <c r="O39" i="177"/>
  <c r="O40" i="177"/>
  <c r="O41" i="177"/>
  <c r="O42" i="177"/>
  <c r="O43" i="177"/>
  <c r="O44" i="177"/>
  <c r="O45" i="177"/>
  <c r="O46" i="177"/>
  <c r="O47" i="177"/>
  <c r="O48" i="177"/>
  <c r="O49" i="177"/>
  <c r="O50" i="177"/>
  <c r="O51" i="177"/>
  <c r="O97" i="176"/>
  <c r="O98" i="176"/>
  <c r="O99" i="176"/>
  <c r="O100" i="176"/>
  <c r="O101" i="176"/>
  <c r="O102" i="176"/>
  <c r="O103" i="176"/>
  <c r="O104" i="176"/>
  <c r="O105" i="176"/>
  <c r="O106" i="176"/>
  <c r="O107" i="176"/>
  <c r="O108" i="176"/>
  <c r="O109" i="176"/>
  <c r="O110" i="176"/>
  <c r="O111" i="176"/>
  <c r="O112" i="176"/>
  <c r="O113" i="176"/>
  <c r="O114" i="176"/>
  <c r="O115" i="176"/>
  <c r="O116" i="176"/>
  <c r="O117" i="176"/>
  <c r="O118" i="176"/>
  <c r="O119" i="176"/>
  <c r="O120" i="176"/>
  <c r="O121" i="176"/>
  <c r="O122" i="176"/>
  <c r="O123" i="176"/>
  <c r="O124" i="176"/>
  <c r="O125" i="176"/>
  <c r="O96" i="176"/>
  <c r="O60" i="176"/>
  <c r="O61" i="176"/>
  <c r="O62" i="176"/>
  <c r="O63" i="176"/>
  <c r="O64" i="176"/>
  <c r="O65" i="176"/>
  <c r="O66" i="176"/>
  <c r="O67" i="176"/>
  <c r="O68" i="176"/>
  <c r="O69" i="176"/>
  <c r="O70" i="176"/>
  <c r="O71" i="176"/>
  <c r="O72" i="176"/>
  <c r="O73" i="176"/>
  <c r="O74" i="176"/>
  <c r="O75" i="176"/>
  <c r="O76" i="176"/>
  <c r="O77" i="176"/>
  <c r="O78" i="176"/>
  <c r="O79" i="176"/>
  <c r="O80" i="176"/>
  <c r="O81" i="176"/>
  <c r="O82" i="176"/>
  <c r="O83" i="176"/>
  <c r="O84" i="176"/>
  <c r="O85" i="176"/>
  <c r="O86" i="176"/>
  <c r="O87" i="176"/>
  <c r="O88" i="176"/>
  <c r="O23" i="176"/>
  <c r="O24" i="176"/>
  <c r="O25" i="176"/>
  <c r="O26" i="176"/>
  <c r="O27" i="176"/>
  <c r="O28" i="176"/>
  <c r="O29" i="176"/>
  <c r="O30" i="176"/>
  <c r="O31" i="176"/>
  <c r="O32" i="176"/>
  <c r="O33" i="176"/>
  <c r="O34" i="176"/>
  <c r="O35" i="176"/>
  <c r="O36" i="176"/>
  <c r="O37" i="176"/>
  <c r="O38" i="176"/>
  <c r="O39" i="176"/>
  <c r="O40" i="176"/>
  <c r="O41" i="176"/>
  <c r="O42" i="176"/>
  <c r="O43" i="176"/>
  <c r="O44" i="176"/>
  <c r="O45" i="176"/>
  <c r="O46" i="176"/>
  <c r="O47" i="176"/>
  <c r="O48" i="176"/>
  <c r="O49" i="176"/>
  <c r="O50" i="176"/>
  <c r="O51" i="176"/>
  <c r="O97" i="175"/>
  <c r="O98" i="175"/>
  <c r="O99" i="175"/>
  <c r="O100" i="175"/>
  <c r="O101" i="175"/>
  <c r="O102" i="175"/>
  <c r="O103" i="175"/>
  <c r="O104" i="175"/>
  <c r="O105" i="175"/>
  <c r="O106" i="175"/>
  <c r="O107" i="175"/>
  <c r="O108" i="175"/>
  <c r="O109" i="175"/>
  <c r="O110" i="175"/>
  <c r="O111" i="175"/>
  <c r="O112" i="175"/>
  <c r="O113" i="175"/>
  <c r="O114" i="175"/>
  <c r="O115" i="175"/>
  <c r="O116" i="175"/>
  <c r="O117" i="175"/>
  <c r="O118" i="175"/>
  <c r="O119" i="175"/>
  <c r="O120" i="175"/>
  <c r="O121" i="175"/>
  <c r="O122" i="175"/>
  <c r="O123" i="175"/>
  <c r="O124" i="175"/>
  <c r="O125" i="175"/>
  <c r="O96" i="175"/>
  <c r="O60" i="175"/>
  <c r="O61" i="175"/>
  <c r="O62" i="175"/>
  <c r="O63" i="175"/>
  <c r="O64" i="175"/>
  <c r="O65" i="175"/>
  <c r="O66" i="175"/>
  <c r="O67" i="175"/>
  <c r="O68" i="175"/>
  <c r="O69" i="175"/>
  <c r="O70" i="175"/>
  <c r="O71" i="175"/>
  <c r="O72" i="175"/>
  <c r="O73" i="175"/>
  <c r="O74" i="175"/>
  <c r="O75" i="175"/>
  <c r="O76" i="175"/>
  <c r="O77" i="175"/>
  <c r="O78" i="175"/>
  <c r="O79" i="175"/>
  <c r="O80" i="175"/>
  <c r="O81" i="175"/>
  <c r="O82" i="175"/>
  <c r="O83" i="175"/>
  <c r="O84" i="175"/>
  <c r="O85" i="175"/>
  <c r="O86" i="175"/>
  <c r="O87" i="175"/>
  <c r="O88" i="175"/>
  <c r="O23" i="175"/>
  <c r="O24" i="175"/>
  <c r="O25" i="175"/>
  <c r="O26" i="175"/>
  <c r="O27" i="175"/>
  <c r="O28" i="175"/>
  <c r="O29" i="175"/>
  <c r="O30" i="175"/>
  <c r="O31" i="175"/>
  <c r="O32" i="175"/>
  <c r="O33" i="175"/>
  <c r="O34" i="175"/>
  <c r="O35" i="175"/>
  <c r="O36" i="175"/>
  <c r="O37" i="175"/>
  <c r="O38" i="175"/>
  <c r="O39" i="175"/>
  <c r="O40" i="175"/>
  <c r="O41" i="175"/>
  <c r="O42" i="175"/>
  <c r="O43" i="175"/>
  <c r="O44" i="175"/>
  <c r="O45" i="175"/>
  <c r="O46" i="175"/>
  <c r="O47" i="175"/>
  <c r="O48" i="175"/>
  <c r="O49" i="175"/>
  <c r="O50" i="175"/>
  <c r="O51" i="175"/>
  <c r="O97" i="174"/>
  <c r="O98" i="174"/>
  <c r="O99" i="174"/>
  <c r="O100" i="174"/>
  <c r="O101" i="174"/>
  <c r="O102" i="174"/>
  <c r="O103" i="174"/>
  <c r="O104" i="174"/>
  <c r="O105" i="174"/>
  <c r="O106" i="174"/>
  <c r="O107" i="174"/>
  <c r="O108" i="174"/>
  <c r="O109" i="174"/>
  <c r="O110" i="174"/>
  <c r="O111" i="174"/>
  <c r="O112" i="174"/>
  <c r="O113" i="174"/>
  <c r="O114" i="174"/>
  <c r="O115" i="174"/>
  <c r="O116" i="174"/>
  <c r="O117" i="174"/>
  <c r="O118" i="174"/>
  <c r="O119" i="174"/>
  <c r="O120" i="174"/>
  <c r="O121" i="174"/>
  <c r="O122" i="174"/>
  <c r="O123" i="174"/>
  <c r="O124" i="174"/>
  <c r="O125" i="174"/>
  <c r="O96" i="174"/>
  <c r="O60" i="174"/>
  <c r="O61" i="174"/>
  <c r="O62" i="174"/>
  <c r="O63" i="174"/>
  <c r="O64" i="174"/>
  <c r="O65" i="174"/>
  <c r="O66" i="174"/>
  <c r="O67" i="174"/>
  <c r="O68" i="174"/>
  <c r="O69" i="174"/>
  <c r="O70" i="174"/>
  <c r="O71" i="174"/>
  <c r="O72" i="174"/>
  <c r="O73" i="174"/>
  <c r="O74" i="174"/>
  <c r="O75" i="174"/>
  <c r="O76" i="174"/>
  <c r="O77" i="174"/>
  <c r="O78" i="174"/>
  <c r="O79" i="174"/>
  <c r="O80" i="174"/>
  <c r="O81" i="174"/>
  <c r="O82" i="174"/>
  <c r="O83" i="174"/>
  <c r="O84" i="174"/>
  <c r="O85" i="174"/>
  <c r="O86" i="174"/>
  <c r="O87" i="174"/>
  <c r="O88" i="174"/>
  <c r="O23" i="174"/>
  <c r="O24" i="174"/>
  <c r="O25" i="174"/>
  <c r="O26" i="174"/>
  <c r="O27" i="174"/>
  <c r="O28" i="174"/>
  <c r="O29" i="174"/>
  <c r="O30" i="174"/>
  <c r="O31" i="174"/>
  <c r="O32" i="174"/>
  <c r="O33" i="174"/>
  <c r="O34" i="174"/>
  <c r="O35" i="174"/>
  <c r="O36" i="174"/>
  <c r="O37" i="174"/>
  <c r="O38" i="174"/>
  <c r="O39" i="174"/>
  <c r="O40" i="174"/>
  <c r="O41" i="174"/>
  <c r="O42" i="174"/>
  <c r="O43" i="174"/>
  <c r="O44" i="174"/>
  <c r="O45" i="174"/>
  <c r="O46" i="174"/>
  <c r="O47" i="174"/>
  <c r="O48" i="174"/>
  <c r="O49" i="174"/>
  <c r="O50" i="174"/>
  <c r="O51" i="174"/>
  <c r="O97" i="173"/>
  <c r="O98" i="173"/>
  <c r="O99" i="173"/>
  <c r="O100" i="173"/>
  <c r="O101" i="173"/>
  <c r="O102" i="173"/>
  <c r="O103" i="173"/>
  <c r="O104" i="173"/>
  <c r="O105" i="173"/>
  <c r="O106" i="173"/>
  <c r="O107" i="173"/>
  <c r="O108" i="173"/>
  <c r="O109" i="173"/>
  <c r="O110" i="173"/>
  <c r="O111" i="173"/>
  <c r="O112" i="173"/>
  <c r="O113" i="173"/>
  <c r="O114" i="173"/>
  <c r="O115" i="173"/>
  <c r="O116" i="173"/>
  <c r="O117" i="173"/>
  <c r="O118" i="173"/>
  <c r="O119" i="173"/>
  <c r="O120" i="173"/>
  <c r="O121" i="173"/>
  <c r="O122" i="173"/>
  <c r="O123" i="173"/>
  <c r="O124" i="173"/>
  <c r="O125" i="173"/>
  <c r="O96" i="173"/>
  <c r="O60" i="173"/>
  <c r="O61" i="173"/>
  <c r="O62" i="173"/>
  <c r="O63" i="173"/>
  <c r="O64" i="173"/>
  <c r="O65" i="173"/>
  <c r="O66" i="173"/>
  <c r="O67" i="173"/>
  <c r="O68" i="173"/>
  <c r="O69" i="173"/>
  <c r="O70" i="173"/>
  <c r="O71" i="173"/>
  <c r="O72" i="173"/>
  <c r="O73" i="173"/>
  <c r="O74" i="173"/>
  <c r="O75" i="173"/>
  <c r="O76" i="173"/>
  <c r="O77" i="173"/>
  <c r="O78" i="173"/>
  <c r="O79" i="173"/>
  <c r="O80" i="173"/>
  <c r="O81" i="173"/>
  <c r="O82" i="173"/>
  <c r="O83" i="173"/>
  <c r="O84" i="173"/>
  <c r="O85" i="173"/>
  <c r="O86" i="173"/>
  <c r="O87" i="173"/>
  <c r="O88" i="173"/>
  <c r="O23" i="173"/>
  <c r="O24" i="173"/>
  <c r="O25" i="173"/>
  <c r="O26" i="173"/>
  <c r="O27" i="173"/>
  <c r="O28" i="173"/>
  <c r="O29" i="173"/>
  <c r="O30" i="173"/>
  <c r="O31" i="173"/>
  <c r="O32" i="173"/>
  <c r="O33" i="173"/>
  <c r="O34" i="173"/>
  <c r="O35" i="173"/>
  <c r="O36" i="173"/>
  <c r="O37" i="173"/>
  <c r="O38" i="173"/>
  <c r="O39" i="173"/>
  <c r="O40" i="173"/>
  <c r="O41" i="173"/>
  <c r="O42" i="173"/>
  <c r="O43" i="173"/>
  <c r="O44" i="173"/>
  <c r="O45" i="173"/>
  <c r="O46" i="173"/>
  <c r="O47" i="173"/>
  <c r="O48" i="173"/>
  <c r="O49" i="173"/>
  <c r="O50" i="173"/>
  <c r="O51" i="173"/>
  <c r="O97" i="172"/>
  <c r="O98" i="172"/>
  <c r="O99" i="172"/>
  <c r="O100" i="172"/>
  <c r="O101" i="172"/>
  <c r="O102" i="172"/>
  <c r="O103" i="172"/>
  <c r="O104" i="172"/>
  <c r="O105" i="172"/>
  <c r="O106" i="172"/>
  <c r="O107" i="172"/>
  <c r="O108" i="172"/>
  <c r="O109" i="172"/>
  <c r="O110" i="172"/>
  <c r="O111" i="172"/>
  <c r="O112" i="172"/>
  <c r="O113" i="172"/>
  <c r="O114" i="172"/>
  <c r="O115" i="172"/>
  <c r="O116" i="172"/>
  <c r="O117" i="172"/>
  <c r="O118" i="172"/>
  <c r="O119" i="172"/>
  <c r="O120" i="172"/>
  <c r="O121" i="172"/>
  <c r="O122" i="172"/>
  <c r="O123" i="172"/>
  <c r="O124" i="172"/>
  <c r="O125" i="172"/>
  <c r="O96" i="172"/>
  <c r="O60" i="172"/>
  <c r="O61" i="172"/>
  <c r="O62" i="172"/>
  <c r="O63" i="172"/>
  <c r="O64" i="172"/>
  <c r="O65" i="172"/>
  <c r="O66" i="172"/>
  <c r="O67" i="172"/>
  <c r="O68" i="172"/>
  <c r="O69" i="172"/>
  <c r="O70" i="172"/>
  <c r="O71" i="172"/>
  <c r="O72" i="172"/>
  <c r="O73" i="172"/>
  <c r="O74" i="172"/>
  <c r="O75" i="172"/>
  <c r="O76" i="172"/>
  <c r="O77" i="172"/>
  <c r="O78" i="172"/>
  <c r="O79" i="172"/>
  <c r="O80" i="172"/>
  <c r="O81" i="172"/>
  <c r="O82" i="172"/>
  <c r="O83" i="172"/>
  <c r="O84" i="172"/>
  <c r="O85" i="172"/>
  <c r="O86" i="172"/>
  <c r="O87" i="172"/>
  <c r="O88" i="172"/>
  <c r="O23" i="172"/>
  <c r="O24" i="172"/>
  <c r="O25" i="172"/>
  <c r="O26" i="172"/>
  <c r="O27" i="172"/>
  <c r="O28" i="172"/>
  <c r="O29" i="172"/>
  <c r="O30" i="172"/>
  <c r="O31" i="172"/>
  <c r="O32" i="172"/>
  <c r="O33" i="172"/>
  <c r="O34" i="172"/>
  <c r="O35" i="172"/>
  <c r="O36" i="172"/>
  <c r="O37" i="172"/>
  <c r="O38" i="172"/>
  <c r="O39" i="172"/>
  <c r="O40" i="172"/>
  <c r="O41" i="172"/>
  <c r="O42" i="172"/>
  <c r="O43" i="172"/>
  <c r="O44" i="172"/>
  <c r="O45" i="172"/>
  <c r="O46" i="172"/>
  <c r="O47" i="172"/>
  <c r="O48" i="172"/>
  <c r="O49" i="172"/>
  <c r="O50" i="172"/>
  <c r="O51" i="172"/>
  <c r="O97" i="171"/>
  <c r="O98" i="171"/>
  <c r="O99" i="171"/>
  <c r="O100" i="171"/>
  <c r="O101" i="171"/>
  <c r="O102" i="171"/>
  <c r="O103" i="171"/>
  <c r="O104" i="171"/>
  <c r="O105" i="171"/>
  <c r="O106" i="171"/>
  <c r="O107" i="171"/>
  <c r="O108" i="171"/>
  <c r="O109" i="171"/>
  <c r="O110" i="171"/>
  <c r="O111" i="171"/>
  <c r="O112" i="171"/>
  <c r="O113" i="171"/>
  <c r="O114" i="171"/>
  <c r="O115" i="171"/>
  <c r="O116" i="171"/>
  <c r="O117" i="171"/>
  <c r="O118" i="171"/>
  <c r="O119" i="171"/>
  <c r="O120" i="171"/>
  <c r="O121" i="171"/>
  <c r="O122" i="171"/>
  <c r="O123" i="171"/>
  <c r="O124" i="171"/>
  <c r="O125" i="171"/>
  <c r="O96" i="171"/>
  <c r="O60" i="171"/>
  <c r="O61" i="171"/>
  <c r="O62" i="171"/>
  <c r="O63" i="171"/>
  <c r="O64" i="171"/>
  <c r="O65" i="171"/>
  <c r="O66" i="171"/>
  <c r="O67" i="171"/>
  <c r="O68" i="171"/>
  <c r="O69" i="171"/>
  <c r="O70" i="171"/>
  <c r="O71" i="171"/>
  <c r="O72" i="171"/>
  <c r="O73" i="171"/>
  <c r="O74" i="171"/>
  <c r="O75" i="171"/>
  <c r="O76" i="171"/>
  <c r="O77" i="171"/>
  <c r="O78" i="171"/>
  <c r="O79" i="171"/>
  <c r="O80" i="171"/>
  <c r="O81" i="171"/>
  <c r="O82" i="171"/>
  <c r="O83" i="171"/>
  <c r="O84" i="171"/>
  <c r="O85" i="171"/>
  <c r="O86" i="171"/>
  <c r="O87" i="171"/>
  <c r="O88" i="171"/>
  <c r="O23" i="171"/>
  <c r="O24" i="171"/>
  <c r="O25" i="171"/>
  <c r="O26" i="171"/>
  <c r="O27" i="171"/>
  <c r="O28" i="171"/>
  <c r="O29" i="171"/>
  <c r="O30" i="171"/>
  <c r="O31" i="171"/>
  <c r="O32" i="171"/>
  <c r="O33" i="171"/>
  <c r="O34" i="171"/>
  <c r="O35" i="171"/>
  <c r="O36" i="171"/>
  <c r="O37" i="171"/>
  <c r="O38" i="171"/>
  <c r="O39" i="171"/>
  <c r="O40" i="171"/>
  <c r="O41" i="171"/>
  <c r="O42" i="171"/>
  <c r="O43" i="171"/>
  <c r="O44" i="171"/>
  <c r="O45" i="171"/>
  <c r="O46" i="171"/>
  <c r="O47" i="171"/>
  <c r="O48" i="171"/>
  <c r="O49" i="171"/>
  <c r="O50" i="171"/>
  <c r="O51" i="171"/>
  <c r="O97" i="170"/>
  <c r="O98" i="170"/>
  <c r="O99" i="170"/>
  <c r="O100" i="170"/>
  <c r="O101" i="170"/>
  <c r="O102" i="170"/>
  <c r="O103" i="170"/>
  <c r="O104" i="170"/>
  <c r="O105" i="170"/>
  <c r="O106" i="170"/>
  <c r="O107" i="170"/>
  <c r="O108" i="170"/>
  <c r="O109" i="170"/>
  <c r="O110" i="170"/>
  <c r="O111" i="170"/>
  <c r="O112" i="170"/>
  <c r="O113" i="170"/>
  <c r="O114" i="170"/>
  <c r="O115" i="170"/>
  <c r="O116" i="170"/>
  <c r="O117" i="170"/>
  <c r="O118" i="170"/>
  <c r="O119" i="170"/>
  <c r="O120" i="170"/>
  <c r="O121" i="170"/>
  <c r="O122" i="170"/>
  <c r="O123" i="170"/>
  <c r="O124" i="170"/>
  <c r="O125" i="170"/>
  <c r="O96" i="170"/>
  <c r="O60" i="170"/>
  <c r="O61" i="170"/>
  <c r="O62" i="170"/>
  <c r="O63" i="170"/>
  <c r="O64" i="170"/>
  <c r="O65" i="170"/>
  <c r="O66" i="170"/>
  <c r="O67" i="170"/>
  <c r="O68" i="170"/>
  <c r="O69" i="170"/>
  <c r="O70" i="170"/>
  <c r="O71" i="170"/>
  <c r="O72" i="170"/>
  <c r="O73" i="170"/>
  <c r="O74" i="170"/>
  <c r="O75" i="170"/>
  <c r="O76" i="170"/>
  <c r="O77" i="170"/>
  <c r="O78" i="170"/>
  <c r="O79" i="170"/>
  <c r="O80" i="170"/>
  <c r="O81" i="170"/>
  <c r="O82" i="170"/>
  <c r="O83" i="170"/>
  <c r="O84" i="170"/>
  <c r="O85" i="170"/>
  <c r="O86" i="170"/>
  <c r="O87" i="170"/>
  <c r="O88" i="170"/>
  <c r="O23" i="170"/>
  <c r="O24" i="170"/>
  <c r="O25" i="170"/>
  <c r="O26" i="170"/>
  <c r="O27" i="170"/>
  <c r="O28" i="170"/>
  <c r="O29" i="170"/>
  <c r="O30" i="170"/>
  <c r="O31" i="170"/>
  <c r="O32" i="170"/>
  <c r="O33" i="170"/>
  <c r="O34" i="170"/>
  <c r="O35" i="170"/>
  <c r="O36" i="170"/>
  <c r="O37" i="170"/>
  <c r="O38" i="170"/>
  <c r="O39" i="170"/>
  <c r="O40" i="170"/>
  <c r="O41" i="170"/>
  <c r="O42" i="170"/>
  <c r="O43" i="170"/>
  <c r="O44" i="170"/>
  <c r="O45" i="170"/>
  <c r="O46" i="170"/>
  <c r="O47" i="170"/>
  <c r="O48" i="170"/>
  <c r="O49" i="170"/>
  <c r="O50" i="170"/>
  <c r="O51" i="170"/>
  <c r="O97" i="169"/>
  <c r="O98" i="169"/>
  <c r="O99" i="169"/>
  <c r="O100" i="169"/>
  <c r="O101" i="169"/>
  <c r="O102" i="169"/>
  <c r="O103" i="169"/>
  <c r="O104" i="169"/>
  <c r="O105" i="169"/>
  <c r="O106" i="169"/>
  <c r="O107" i="169"/>
  <c r="O108" i="169"/>
  <c r="O109" i="169"/>
  <c r="O110" i="169"/>
  <c r="O111" i="169"/>
  <c r="O112" i="169"/>
  <c r="O113" i="169"/>
  <c r="O114" i="169"/>
  <c r="O115" i="169"/>
  <c r="O116" i="169"/>
  <c r="O117" i="169"/>
  <c r="O118" i="169"/>
  <c r="O119" i="169"/>
  <c r="O120" i="169"/>
  <c r="O121" i="169"/>
  <c r="O122" i="169"/>
  <c r="O123" i="169"/>
  <c r="O124" i="169"/>
  <c r="O125" i="169"/>
  <c r="O96" i="169"/>
  <c r="O60" i="169"/>
  <c r="O61" i="169"/>
  <c r="O62" i="169"/>
  <c r="O63" i="169"/>
  <c r="O64" i="169"/>
  <c r="O65" i="169"/>
  <c r="O66" i="169"/>
  <c r="O67" i="169"/>
  <c r="O68" i="169"/>
  <c r="O69" i="169"/>
  <c r="O70" i="169"/>
  <c r="O71" i="169"/>
  <c r="O72" i="169"/>
  <c r="O73" i="169"/>
  <c r="O74" i="169"/>
  <c r="O75" i="169"/>
  <c r="O76" i="169"/>
  <c r="O77" i="169"/>
  <c r="O78" i="169"/>
  <c r="O79" i="169"/>
  <c r="O80" i="169"/>
  <c r="O81" i="169"/>
  <c r="O82" i="169"/>
  <c r="O83" i="169"/>
  <c r="O84" i="169"/>
  <c r="O85" i="169"/>
  <c r="O86" i="169"/>
  <c r="O87" i="169"/>
  <c r="O88" i="169"/>
  <c r="O23" i="169"/>
  <c r="O24" i="169"/>
  <c r="O25" i="169"/>
  <c r="O26" i="169"/>
  <c r="O27" i="169"/>
  <c r="O28" i="169"/>
  <c r="O29" i="169"/>
  <c r="O30" i="169"/>
  <c r="O31" i="169"/>
  <c r="O32" i="169"/>
  <c r="O33" i="169"/>
  <c r="O34" i="169"/>
  <c r="O35" i="169"/>
  <c r="O36" i="169"/>
  <c r="O37" i="169"/>
  <c r="O38" i="169"/>
  <c r="O39" i="169"/>
  <c r="O40" i="169"/>
  <c r="O41" i="169"/>
  <c r="O42" i="169"/>
  <c r="O43" i="169"/>
  <c r="O44" i="169"/>
  <c r="O45" i="169"/>
  <c r="O46" i="169"/>
  <c r="O47" i="169"/>
  <c r="O48" i="169"/>
  <c r="O49" i="169"/>
  <c r="O50" i="169"/>
  <c r="O51" i="169"/>
  <c r="O97" i="149"/>
  <c r="O98" i="149"/>
  <c r="O99" i="149"/>
  <c r="O100" i="149"/>
  <c r="O101" i="149"/>
  <c r="O102" i="149"/>
  <c r="O103" i="149"/>
  <c r="O104" i="149"/>
  <c r="O105" i="149"/>
  <c r="O106" i="149"/>
  <c r="O107" i="149"/>
  <c r="O108" i="149"/>
  <c r="O109" i="149"/>
  <c r="O110" i="149"/>
  <c r="O111" i="149"/>
  <c r="O112" i="149"/>
  <c r="O113" i="149"/>
  <c r="O114" i="149"/>
  <c r="O115" i="149"/>
  <c r="O116" i="149"/>
  <c r="O117" i="149"/>
  <c r="O118" i="149"/>
  <c r="O119" i="149"/>
  <c r="O120" i="149"/>
  <c r="O121" i="149"/>
  <c r="O122" i="149"/>
  <c r="O123" i="149"/>
  <c r="O124" i="149"/>
  <c r="O125" i="149"/>
  <c r="O96" i="149"/>
  <c r="O60" i="149"/>
  <c r="O61" i="149"/>
  <c r="O62" i="149"/>
  <c r="O63" i="149"/>
  <c r="O64" i="149"/>
  <c r="O65" i="149"/>
  <c r="O66" i="149"/>
  <c r="O67" i="149"/>
  <c r="O68" i="149"/>
  <c r="O69" i="149"/>
  <c r="O70" i="149"/>
  <c r="O71" i="149"/>
  <c r="O72" i="149"/>
  <c r="O73" i="149"/>
  <c r="O74" i="149"/>
  <c r="O75" i="149"/>
  <c r="O76" i="149"/>
  <c r="O77" i="149"/>
  <c r="O78" i="149"/>
  <c r="O79" i="149"/>
  <c r="O80" i="149"/>
  <c r="O81" i="149"/>
  <c r="O82" i="149"/>
  <c r="O83" i="149"/>
  <c r="O84" i="149"/>
  <c r="O85" i="149"/>
  <c r="O86" i="149"/>
  <c r="O87" i="149"/>
  <c r="O88" i="149"/>
  <c r="O24" i="149"/>
  <c r="O26" i="149"/>
  <c r="O28" i="149"/>
  <c r="O30" i="149"/>
  <c r="O32" i="149"/>
  <c r="O34" i="149"/>
  <c r="O36" i="149"/>
  <c r="O38" i="149"/>
  <c r="O40" i="149"/>
  <c r="O42" i="149"/>
  <c r="O44" i="149"/>
  <c r="O46" i="149"/>
  <c r="O48" i="149"/>
  <c r="O50" i="149"/>
  <c r="O97" i="166"/>
  <c r="O98" i="166"/>
  <c r="O99" i="166"/>
  <c r="O100" i="166"/>
  <c r="O101" i="166"/>
  <c r="O102" i="166"/>
  <c r="O103" i="166"/>
  <c r="O104" i="166"/>
  <c r="O105" i="166"/>
  <c r="O106" i="166"/>
  <c r="O107" i="166"/>
  <c r="O108" i="166"/>
  <c r="O109" i="166"/>
  <c r="O110" i="166"/>
  <c r="O111" i="166"/>
  <c r="O112" i="166"/>
  <c r="O113" i="166"/>
  <c r="O114" i="166"/>
  <c r="O115" i="166"/>
  <c r="O116" i="166"/>
  <c r="O117" i="166"/>
  <c r="O118" i="166"/>
  <c r="O119" i="166"/>
  <c r="O120" i="166"/>
  <c r="O121" i="166"/>
  <c r="O122" i="166"/>
  <c r="O123" i="166"/>
  <c r="O124" i="166"/>
  <c r="O125" i="166"/>
  <c r="O96" i="166"/>
  <c r="O60" i="166"/>
  <c r="O61" i="166"/>
  <c r="O62" i="166"/>
  <c r="O63" i="166"/>
  <c r="O64" i="166"/>
  <c r="O65" i="166"/>
  <c r="O66" i="166"/>
  <c r="O67" i="166"/>
  <c r="O68" i="166"/>
  <c r="O69" i="166"/>
  <c r="O70" i="166"/>
  <c r="O71" i="166"/>
  <c r="O72" i="166"/>
  <c r="O73" i="166"/>
  <c r="O74" i="166"/>
  <c r="O75" i="166"/>
  <c r="O76" i="166"/>
  <c r="O77" i="166"/>
  <c r="O78" i="166"/>
  <c r="O79" i="166"/>
  <c r="O80" i="166"/>
  <c r="O81" i="166"/>
  <c r="O82" i="166"/>
  <c r="O83" i="166"/>
  <c r="O84" i="166"/>
  <c r="O85" i="166"/>
  <c r="O86" i="166"/>
  <c r="O87" i="166"/>
  <c r="O88" i="166"/>
  <c r="O23" i="166"/>
  <c r="O24" i="166"/>
  <c r="O25" i="166"/>
  <c r="O26" i="166"/>
  <c r="O27" i="166"/>
  <c r="O28" i="166"/>
  <c r="O29" i="166"/>
  <c r="O30" i="166"/>
  <c r="O31" i="166"/>
  <c r="O32" i="166"/>
  <c r="O33" i="166"/>
  <c r="O34" i="166"/>
  <c r="O35" i="166"/>
  <c r="O36" i="166"/>
  <c r="O37" i="166"/>
  <c r="O38" i="166"/>
  <c r="O39" i="166"/>
  <c r="O40" i="166"/>
  <c r="O41" i="166"/>
  <c r="O42" i="166"/>
  <c r="O43" i="166"/>
  <c r="O44" i="166"/>
  <c r="O45" i="166"/>
  <c r="O46" i="166"/>
  <c r="O47" i="166"/>
  <c r="O48" i="166"/>
  <c r="O49" i="166"/>
  <c r="O50" i="166"/>
  <c r="O51" i="166"/>
  <c r="O97" i="165"/>
  <c r="O98" i="165"/>
  <c r="O99" i="165"/>
  <c r="O100" i="165"/>
  <c r="O101" i="165"/>
  <c r="O102" i="165"/>
  <c r="O103" i="165"/>
  <c r="O104" i="165"/>
  <c r="O105" i="165"/>
  <c r="O106" i="165"/>
  <c r="O107" i="165"/>
  <c r="O108" i="165"/>
  <c r="O109" i="165"/>
  <c r="O110" i="165"/>
  <c r="O111" i="165"/>
  <c r="O112" i="165"/>
  <c r="O113" i="165"/>
  <c r="O114" i="165"/>
  <c r="O115" i="165"/>
  <c r="O116" i="165"/>
  <c r="O117" i="165"/>
  <c r="O118" i="165"/>
  <c r="O119" i="165"/>
  <c r="O120" i="165"/>
  <c r="O121" i="165"/>
  <c r="O122" i="165"/>
  <c r="O123" i="165"/>
  <c r="O124" i="165"/>
  <c r="O125" i="165"/>
  <c r="O96" i="165"/>
  <c r="O60" i="165"/>
  <c r="O61" i="165"/>
  <c r="O62" i="165"/>
  <c r="O63" i="165"/>
  <c r="O64" i="165"/>
  <c r="O65" i="165"/>
  <c r="O66" i="165"/>
  <c r="O67" i="165"/>
  <c r="O68" i="165"/>
  <c r="O69" i="165"/>
  <c r="O70" i="165"/>
  <c r="O71" i="165"/>
  <c r="O72" i="165"/>
  <c r="O73" i="165"/>
  <c r="O74" i="165"/>
  <c r="O75" i="165"/>
  <c r="O76" i="165"/>
  <c r="O77" i="165"/>
  <c r="O78" i="165"/>
  <c r="O79" i="165"/>
  <c r="O80" i="165"/>
  <c r="O81" i="165"/>
  <c r="O82" i="165"/>
  <c r="O83" i="165"/>
  <c r="O84" i="165"/>
  <c r="O85" i="165"/>
  <c r="O86" i="165"/>
  <c r="O87" i="165"/>
  <c r="O88" i="165"/>
  <c r="O23" i="165"/>
  <c r="O24" i="165"/>
  <c r="O25" i="165"/>
  <c r="O26" i="165"/>
  <c r="O27" i="165"/>
  <c r="O28" i="165"/>
  <c r="O29" i="165"/>
  <c r="O30" i="165"/>
  <c r="O31" i="165"/>
  <c r="O32" i="165"/>
  <c r="O33" i="165"/>
  <c r="O34" i="165"/>
  <c r="O35" i="165"/>
  <c r="O36" i="165"/>
  <c r="O37" i="165"/>
  <c r="O38" i="165"/>
  <c r="O39" i="165"/>
  <c r="O40" i="165"/>
  <c r="O41" i="165"/>
  <c r="O42" i="165"/>
  <c r="O43" i="165"/>
  <c r="O44" i="165"/>
  <c r="O45" i="165"/>
  <c r="O46" i="165"/>
  <c r="O47" i="165"/>
  <c r="O48" i="165"/>
  <c r="O49" i="165"/>
  <c r="O50" i="165"/>
  <c r="O51" i="165"/>
  <c r="O97" i="164"/>
  <c r="O98" i="164"/>
  <c r="O99" i="164"/>
  <c r="O100" i="164"/>
  <c r="O101" i="164"/>
  <c r="O102" i="164"/>
  <c r="O103" i="164"/>
  <c r="O104" i="164"/>
  <c r="O105" i="164"/>
  <c r="O106" i="164"/>
  <c r="O107" i="164"/>
  <c r="O108" i="164"/>
  <c r="O109" i="164"/>
  <c r="O110" i="164"/>
  <c r="O111" i="164"/>
  <c r="O112" i="164"/>
  <c r="O113" i="164"/>
  <c r="O114" i="164"/>
  <c r="O115" i="164"/>
  <c r="O116" i="164"/>
  <c r="O117" i="164"/>
  <c r="O118" i="164"/>
  <c r="O119" i="164"/>
  <c r="O120" i="164"/>
  <c r="O121" i="164"/>
  <c r="O122" i="164"/>
  <c r="O123" i="164"/>
  <c r="O124" i="164"/>
  <c r="O125" i="164"/>
  <c r="O96" i="164"/>
  <c r="O60" i="164"/>
  <c r="O61" i="164"/>
  <c r="O62" i="164"/>
  <c r="O63" i="164"/>
  <c r="O64" i="164"/>
  <c r="O65" i="164"/>
  <c r="O66" i="164"/>
  <c r="O67" i="164"/>
  <c r="O68" i="164"/>
  <c r="O69" i="164"/>
  <c r="O70" i="164"/>
  <c r="O71" i="164"/>
  <c r="O72" i="164"/>
  <c r="O73" i="164"/>
  <c r="O74" i="164"/>
  <c r="O75" i="164"/>
  <c r="O76" i="164"/>
  <c r="O77" i="164"/>
  <c r="O78" i="164"/>
  <c r="O79" i="164"/>
  <c r="O80" i="164"/>
  <c r="O81" i="164"/>
  <c r="O82" i="164"/>
  <c r="O83" i="164"/>
  <c r="O84" i="164"/>
  <c r="O85" i="164"/>
  <c r="O86" i="164"/>
  <c r="O87" i="164"/>
  <c r="O88" i="164"/>
  <c r="O23" i="164"/>
  <c r="O24" i="164"/>
  <c r="O25" i="164"/>
  <c r="O26" i="164"/>
  <c r="O27" i="164"/>
  <c r="O28" i="164"/>
  <c r="O29" i="164"/>
  <c r="O30" i="164"/>
  <c r="O31" i="164"/>
  <c r="O32" i="164"/>
  <c r="O33" i="164"/>
  <c r="O34" i="164"/>
  <c r="O35" i="164"/>
  <c r="O36" i="164"/>
  <c r="O37" i="164"/>
  <c r="O38" i="164"/>
  <c r="O39" i="164"/>
  <c r="O40" i="164"/>
  <c r="O41" i="164"/>
  <c r="O42" i="164"/>
  <c r="O43" i="164"/>
  <c r="O44" i="164"/>
  <c r="O45" i="164"/>
  <c r="O46" i="164"/>
  <c r="O47" i="164"/>
  <c r="O48" i="164"/>
  <c r="O49" i="164"/>
  <c r="O50" i="164"/>
  <c r="O51" i="164"/>
  <c r="O97" i="163"/>
  <c r="O98" i="163"/>
  <c r="O99" i="163"/>
  <c r="O100" i="163"/>
  <c r="O101" i="163"/>
  <c r="O102" i="163"/>
  <c r="O103" i="163"/>
  <c r="O104" i="163"/>
  <c r="O105" i="163"/>
  <c r="O106" i="163"/>
  <c r="O107" i="163"/>
  <c r="O108" i="163"/>
  <c r="O109" i="163"/>
  <c r="O110" i="163"/>
  <c r="O111" i="163"/>
  <c r="O112" i="163"/>
  <c r="O113" i="163"/>
  <c r="O114" i="163"/>
  <c r="O115" i="163"/>
  <c r="O116" i="163"/>
  <c r="O117" i="163"/>
  <c r="O118" i="163"/>
  <c r="O119" i="163"/>
  <c r="O120" i="163"/>
  <c r="O121" i="163"/>
  <c r="O122" i="163"/>
  <c r="O123" i="163"/>
  <c r="O124" i="163"/>
  <c r="O125" i="163"/>
  <c r="O96" i="163"/>
  <c r="O60" i="163"/>
  <c r="O61" i="163"/>
  <c r="O62" i="163"/>
  <c r="O63" i="163"/>
  <c r="O64" i="163"/>
  <c r="O65" i="163"/>
  <c r="O66" i="163"/>
  <c r="O67" i="163"/>
  <c r="O68" i="163"/>
  <c r="O69" i="163"/>
  <c r="O70" i="163"/>
  <c r="O71" i="163"/>
  <c r="O72" i="163"/>
  <c r="O73" i="163"/>
  <c r="O74" i="163"/>
  <c r="O75" i="163"/>
  <c r="O76" i="163"/>
  <c r="O77" i="163"/>
  <c r="O78" i="163"/>
  <c r="O79" i="163"/>
  <c r="O80" i="163"/>
  <c r="O81" i="163"/>
  <c r="O82" i="163"/>
  <c r="O83" i="163"/>
  <c r="O84" i="163"/>
  <c r="O85" i="163"/>
  <c r="O86" i="163"/>
  <c r="O87" i="163"/>
  <c r="O88" i="163"/>
  <c r="O23" i="163"/>
  <c r="O24" i="163"/>
  <c r="O25" i="163"/>
  <c r="O26" i="163"/>
  <c r="O27" i="163"/>
  <c r="O28" i="163"/>
  <c r="O29" i="163"/>
  <c r="O30" i="163"/>
  <c r="O31" i="163"/>
  <c r="O32" i="163"/>
  <c r="O33" i="163"/>
  <c r="O34" i="163"/>
  <c r="O35" i="163"/>
  <c r="O36" i="163"/>
  <c r="O37" i="163"/>
  <c r="O38" i="163"/>
  <c r="O39" i="163"/>
  <c r="O40" i="163"/>
  <c r="O41" i="163"/>
  <c r="O42" i="163"/>
  <c r="O43" i="163"/>
  <c r="O44" i="163"/>
  <c r="O45" i="163"/>
  <c r="O46" i="163"/>
  <c r="O47" i="163"/>
  <c r="O48" i="163"/>
  <c r="O49" i="163"/>
  <c r="O50" i="163"/>
  <c r="O51" i="163"/>
  <c r="O97" i="168"/>
  <c r="O98" i="168"/>
  <c r="O99" i="168"/>
  <c r="O100" i="168"/>
  <c r="O101" i="168"/>
  <c r="O102" i="168"/>
  <c r="O103" i="168"/>
  <c r="O104" i="168"/>
  <c r="O105" i="168"/>
  <c r="O106" i="168"/>
  <c r="O107" i="168"/>
  <c r="O108" i="168"/>
  <c r="O109" i="168"/>
  <c r="O110" i="168"/>
  <c r="O111" i="168"/>
  <c r="O112" i="168"/>
  <c r="O113" i="168"/>
  <c r="O114" i="168"/>
  <c r="O115" i="168"/>
  <c r="O116" i="168"/>
  <c r="O117" i="168"/>
  <c r="O118" i="168"/>
  <c r="O119" i="168"/>
  <c r="O120" i="168"/>
  <c r="O121" i="168"/>
  <c r="O122" i="168"/>
  <c r="O123" i="168"/>
  <c r="O124" i="168"/>
  <c r="O125" i="168"/>
  <c r="O96" i="168"/>
  <c r="O60" i="168"/>
  <c r="O61" i="168"/>
  <c r="O62" i="168"/>
  <c r="O63" i="168"/>
  <c r="O64" i="168"/>
  <c r="O65" i="168"/>
  <c r="O66" i="168"/>
  <c r="O67" i="168"/>
  <c r="O68" i="168"/>
  <c r="O69" i="168"/>
  <c r="O70" i="168"/>
  <c r="O71" i="168"/>
  <c r="O72" i="168"/>
  <c r="O73" i="168"/>
  <c r="O74" i="168"/>
  <c r="O75" i="168"/>
  <c r="O76" i="168"/>
  <c r="O77" i="168"/>
  <c r="O78" i="168"/>
  <c r="O79" i="168"/>
  <c r="O80" i="168"/>
  <c r="O81" i="168"/>
  <c r="O82" i="168"/>
  <c r="O83" i="168"/>
  <c r="O84" i="168"/>
  <c r="O85" i="168"/>
  <c r="O86" i="168"/>
  <c r="O87" i="168"/>
  <c r="O88" i="168"/>
  <c r="O23" i="168"/>
  <c r="O24" i="168"/>
  <c r="O25" i="168"/>
  <c r="O26" i="168"/>
  <c r="O27" i="168"/>
  <c r="O28" i="168"/>
  <c r="O29" i="168"/>
  <c r="O30" i="168"/>
  <c r="O31" i="168"/>
  <c r="O32" i="168"/>
  <c r="O33" i="168"/>
  <c r="O34" i="168"/>
  <c r="O35" i="168"/>
  <c r="O36" i="168"/>
  <c r="O37" i="168"/>
  <c r="O38" i="168"/>
  <c r="O39" i="168"/>
  <c r="O40" i="168"/>
  <c r="O41" i="168"/>
  <c r="O42" i="168"/>
  <c r="O43" i="168"/>
  <c r="O44" i="168"/>
  <c r="O45" i="168"/>
  <c r="O46" i="168"/>
  <c r="O47" i="168"/>
  <c r="O48" i="168"/>
  <c r="O49" i="168"/>
  <c r="O50" i="168"/>
  <c r="O51" i="168"/>
  <c r="O97" i="162"/>
  <c r="O98" i="162"/>
  <c r="O99" i="162"/>
  <c r="O100" i="162"/>
  <c r="O101" i="162"/>
  <c r="O102" i="162"/>
  <c r="O103" i="162"/>
  <c r="O104" i="162"/>
  <c r="O105" i="162"/>
  <c r="O106" i="162"/>
  <c r="O107" i="162"/>
  <c r="O108" i="162"/>
  <c r="O109" i="162"/>
  <c r="O110" i="162"/>
  <c r="O111" i="162"/>
  <c r="O112" i="162"/>
  <c r="O113" i="162"/>
  <c r="O114" i="162"/>
  <c r="O115" i="162"/>
  <c r="O116" i="162"/>
  <c r="O117" i="162"/>
  <c r="O118" i="162"/>
  <c r="O119" i="162"/>
  <c r="O120" i="162"/>
  <c r="O121" i="162"/>
  <c r="O122" i="162"/>
  <c r="O123" i="162"/>
  <c r="O124" i="162"/>
  <c r="O125" i="162"/>
  <c r="O96" i="162"/>
  <c r="O60" i="162"/>
  <c r="O61" i="162"/>
  <c r="O62" i="162"/>
  <c r="O63" i="162"/>
  <c r="O64" i="162"/>
  <c r="O65" i="162"/>
  <c r="O66" i="162"/>
  <c r="O67" i="162"/>
  <c r="O68" i="162"/>
  <c r="O69" i="162"/>
  <c r="O70" i="162"/>
  <c r="O71" i="162"/>
  <c r="O72" i="162"/>
  <c r="O73" i="162"/>
  <c r="O74" i="162"/>
  <c r="O75" i="162"/>
  <c r="O76" i="162"/>
  <c r="O77" i="162"/>
  <c r="O78" i="162"/>
  <c r="O79" i="162"/>
  <c r="O80" i="162"/>
  <c r="O81" i="162"/>
  <c r="O82" i="162"/>
  <c r="O83" i="162"/>
  <c r="O84" i="162"/>
  <c r="O85" i="162"/>
  <c r="O86" i="162"/>
  <c r="O87" i="162"/>
  <c r="O88" i="162"/>
  <c r="O23" i="162"/>
  <c r="O24" i="162"/>
  <c r="O25" i="162"/>
  <c r="O26" i="162"/>
  <c r="O27" i="162"/>
  <c r="O28" i="162"/>
  <c r="O29" i="162"/>
  <c r="O30" i="162"/>
  <c r="O31" i="162"/>
  <c r="O32" i="162"/>
  <c r="O33" i="162"/>
  <c r="O34" i="162"/>
  <c r="O35" i="162"/>
  <c r="O36" i="162"/>
  <c r="O37" i="162"/>
  <c r="O38" i="162"/>
  <c r="O39" i="162"/>
  <c r="O40" i="162"/>
  <c r="O41" i="162"/>
  <c r="O42" i="162"/>
  <c r="O43" i="162"/>
  <c r="O44" i="162"/>
  <c r="O45" i="162"/>
  <c r="O46" i="162"/>
  <c r="O47" i="162"/>
  <c r="O48" i="162"/>
  <c r="O49" i="162"/>
  <c r="O50" i="162"/>
  <c r="O51" i="162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96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O42" i="161"/>
  <c r="O43" i="161"/>
  <c r="O44" i="161"/>
  <c r="O45" i="161"/>
  <c r="O46" i="161"/>
  <c r="O47" i="161"/>
  <c r="O48" i="161"/>
  <c r="O49" i="161"/>
  <c r="O50" i="161"/>
  <c r="O51" i="161"/>
  <c r="O97" i="153"/>
  <c r="O98" i="153"/>
  <c r="O99" i="153"/>
  <c r="O100" i="153"/>
  <c r="O101" i="153"/>
  <c r="O102" i="153"/>
  <c r="O103" i="153"/>
  <c r="O104" i="153"/>
  <c r="O105" i="153"/>
  <c r="O106" i="153"/>
  <c r="O107" i="153"/>
  <c r="O108" i="153"/>
  <c r="O109" i="153"/>
  <c r="O110" i="153"/>
  <c r="O111" i="153"/>
  <c r="O112" i="153"/>
  <c r="O113" i="153"/>
  <c r="O114" i="153"/>
  <c r="O115" i="153"/>
  <c r="O116" i="153"/>
  <c r="O117" i="153"/>
  <c r="O118" i="153"/>
  <c r="O119" i="153"/>
  <c r="O120" i="153"/>
  <c r="O121" i="153"/>
  <c r="O122" i="153"/>
  <c r="O123" i="153"/>
  <c r="O124" i="153"/>
  <c r="O125" i="153"/>
  <c r="O96" i="153"/>
  <c r="O60" i="153"/>
  <c r="O61" i="153"/>
  <c r="O62" i="153"/>
  <c r="O63" i="153"/>
  <c r="O64" i="153"/>
  <c r="O65" i="153"/>
  <c r="O66" i="153"/>
  <c r="O67" i="153"/>
  <c r="O68" i="153"/>
  <c r="O69" i="153"/>
  <c r="O70" i="153"/>
  <c r="O71" i="153"/>
  <c r="O72" i="153"/>
  <c r="O73" i="153"/>
  <c r="O74" i="153"/>
  <c r="O75" i="153"/>
  <c r="O76" i="153"/>
  <c r="O77" i="153"/>
  <c r="O78" i="153"/>
  <c r="O79" i="153"/>
  <c r="O80" i="153"/>
  <c r="O81" i="153"/>
  <c r="O82" i="153"/>
  <c r="O83" i="153"/>
  <c r="O84" i="153"/>
  <c r="O85" i="153"/>
  <c r="O86" i="153"/>
  <c r="O87" i="153"/>
  <c r="O88" i="153"/>
  <c r="O23" i="153"/>
  <c r="O24" i="153"/>
  <c r="O25" i="153"/>
  <c r="O26" i="153"/>
  <c r="O27" i="153"/>
  <c r="O28" i="153"/>
  <c r="O29" i="153"/>
  <c r="O30" i="153"/>
  <c r="O31" i="153"/>
  <c r="O32" i="153"/>
  <c r="O33" i="153"/>
  <c r="O34" i="153"/>
  <c r="O35" i="153"/>
  <c r="O36" i="153"/>
  <c r="O37" i="153"/>
  <c r="O38" i="153"/>
  <c r="O39" i="153"/>
  <c r="O40" i="153"/>
  <c r="O41" i="153"/>
  <c r="O42" i="153"/>
  <c r="O43" i="153"/>
  <c r="O44" i="153"/>
  <c r="O45" i="153"/>
  <c r="O46" i="153"/>
  <c r="O47" i="153"/>
  <c r="O48" i="153"/>
  <c r="O49" i="153"/>
  <c r="O50" i="153"/>
  <c r="O51" i="153"/>
  <c r="O97" i="152"/>
  <c r="O98" i="152"/>
  <c r="O99" i="152"/>
  <c r="O100" i="152"/>
  <c r="O101" i="152"/>
  <c r="O102" i="152"/>
  <c r="O103" i="152"/>
  <c r="O104" i="152"/>
  <c r="O105" i="152"/>
  <c r="O106" i="152"/>
  <c r="O107" i="152"/>
  <c r="O108" i="152"/>
  <c r="O109" i="152"/>
  <c r="O110" i="152"/>
  <c r="O111" i="152"/>
  <c r="O112" i="152"/>
  <c r="O113" i="152"/>
  <c r="O114" i="152"/>
  <c r="O115" i="152"/>
  <c r="O116" i="152"/>
  <c r="O117" i="152"/>
  <c r="O118" i="152"/>
  <c r="O119" i="152"/>
  <c r="O120" i="152"/>
  <c r="O121" i="152"/>
  <c r="O122" i="152"/>
  <c r="O123" i="152"/>
  <c r="O124" i="152"/>
  <c r="O125" i="152"/>
  <c r="O96" i="152"/>
  <c r="O112" i="151"/>
  <c r="O113" i="151"/>
  <c r="O114" i="151"/>
  <c r="O115" i="151"/>
  <c r="O116" i="151"/>
  <c r="O117" i="151"/>
  <c r="O118" i="151"/>
  <c r="O119" i="151"/>
  <c r="O120" i="151"/>
  <c r="O121" i="151"/>
  <c r="O122" i="151"/>
  <c r="O123" i="151"/>
  <c r="O124" i="151"/>
  <c r="O125" i="151"/>
  <c r="O97" i="151"/>
  <c r="O98" i="151"/>
  <c r="O99" i="151"/>
  <c r="O100" i="151"/>
  <c r="O101" i="151"/>
  <c r="O102" i="151"/>
  <c r="O103" i="151"/>
  <c r="O104" i="151"/>
  <c r="O105" i="151"/>
  <c r="O106" i="151"/>
  <c r="O107" i="151"/>
  <c r="O108" i="151"/>
  <c r="O109" i="151"/>
  <c r="O110" i="151"/>
  <c r="O111" i="151"/>
  <c r="O96" i="151"/>
  <c r="O60" i="151"/>
  <c r="O61" i="151"/>
  <c r="O62" i="151"/>
  <c r="O63" i="151"/>
  <c r="O64" i="151"/>
  <c r="O65" i="151"/>
  <c r="O66" i="151"/>
  <c r="O67" i="151"/>
  <c r="O68" i="151"/>
  <c r="O69" i="151"/>
  <c r="O70" i="151"/>
  <c r="O71" i="151"/>
  <c r="O72" i="151"/>
  <c r="O73" i="151"/>
  <c r="O74" i="151"/>
  <c r="O75" i="151"/>
  <c r="O76" i="151"/>
  <c r="O77" i="151"/>
  <c r="O78" i="151"/>
  <c r="O79" i="151"/>
  <c r="O80" i="151"/>
  <c r="O81" i="151"/>
  <c r="O82" i="151"/>
  <c r="O83" i="151"/>
  <c r="O84" i="151"/>
  <c r="O85" i="151"/>
  <c r="O86" i="151"/>
  <c r="O87" i="151"/>
  <c r="O88" i="151"/>
  <c r="O23" i="151"/>
  <c r="O24" i="151"/>
  <c r="O25" i="151"/>
  <c r="O26" i="151"/>
  <c r="O27" i="151"/>
  <c r="O28" i="151"/>
  <c r="O29" i="151"/>
  <c r="O30" i="151"/>
  <c r="O31" i="151"/>
  <c r="O32" i="151"/>
  <c r="O33" i="151"/>
  <c r="O34" i="151"/>
  <c r="O35" i="151"/>
  <c r="O36" i="151"/>
  <c r="O37" i="151"/>
  <c r="O38" i="151"/>
  <c r="O39" i="151"/>
  <c r="O40" i="151"/>
  <c r="O41" i="151"/>
  <c r="O42" i="151"/>
  <c r="O43" i="151"/>
  <c r="O44" i="151"/>
  <c r="O45" i="151"/>
  <c r="O46" i="151"/>
  <c r="O47" i="151"/>
  <c r="O48" i="151"/>
  <c r="O49" i="151"/>
  <c r="O50" i="151"/>
  <c r="O51" i="151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O125" i="150"/>
  <c r="O96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81" i="150"/>
  <c r="O82" i="150"/>
  <c r="O83" i="150"/>
  <c r="O84" i="150"/>
  <c r="O85" i="150"/>
  <c r="O86" i="150"/>
  <c r="O87" i="150"/>
  <c r="O88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O42" i="150"/>
  <c r="O43" i="150"/>
  <c r="O44" i="150"/>
  <c r="O45" i="150"/>
  <c r="O46" i="150"/>
  <c r="O47" i="150"/>
  <c r="O48" i="150"/>
  <c r="O49" i="150"/>
  <c r="O50" i="150"/>
  <c r="O51" i="150"/>
  <c r="O97" i="53"/>
  <c r="O98" i="53"/>
  <c r="O99" i="53"/>
  <c r="O100" i="53"/>
  <c r="O101" i="53"/>
  <c r="O102" i="53"/>
  <c r="O103" i="53"/>
  <c r="O104" i="53"/>
  <c r="O105" i="53"/>
  <c r="O106" i="53"/>
  <c r="O107" i="53"/>
  <c r="O108" i="53"/>
  <c r="O109" i="53"/>
  <c r="O110" i="53"/>
  <c r="O111" i="53"/>
  <c r="O112" i="53"/>
  <c r="O113" i="53"/>
  <c r="O114" i="53"/>
  <c r="O115" i="53"/>
  <c r="O116" i="53"/>
  <c r="O117" i="53"/>
  <c r="O118" i="53"/>
  <c r="O119" i="53"/>
  <c r="O120" i="53"/>
  <c r="O121" i="53"/>
  <c r="O122" i="53"/>
  <c r="O123" i="53"/>
  <c r="O124" i="53"/>
  <c r="O125" i="53"/>
  <c r="O96" i="53"/>
  <c r="O60" i="53"/>
  <c r="O61" i="53"/>
  <c r="O62" i="53"/>
  <c r="O63" i="53"/>
  <c r="O64" i="53"/>
  <c r="O65" i="53"/>
  <c r="O66" i="53"/>
  <c r="O67" i="53"/>
  <c r="O68" i="53"/>
  <c r="O69" i="53"/>
  <c r="O70" i="53"/>
  <c r="O71" i="53"/>
  <c r="O72" i="53"/>
  <c r="O73" i="53"/>
  <c r="O74" i="53"/>
  <c r="O75" i="53"/>
  <c r="O76" i="53"/>
  <c r="O77" i="53"/>
  <c r="O78" i="53"/>
  <c r="O79" i="53"/>
  <c r="O80" i="53"/>
  <c r="O81" i="53"/>
  <c r="O82" i="53"/>
  <c r="O83" i="53"/>
  <c r="O84" i="53"/>
  <c r="O85" i="53"/>
  <c r="O86" i="53"/>
  <c r="O87" i="53"/>
  <c r="O88" i="53"/>
  <c r="O32" i="53"/>
  <c r="O33" i="53"/>
  <c r="O34" i="53"/>
  <c r="O35" i="53"/>
  <c r="O36" i="53"/>
  <c r="O37" i="53"/>
  <c r="O38" i="53"/>
  <c r="O39" i="53"/>
  <c r="O40" i="53"/>
  <c r="O41" i="53"/>
  <c r="O42" i="53"/>
  <c r="O43" i="53"/>
  <c r="O44" i="53"/>
  <c r="O45" i="53"/>
  <c r="O46" i="53"/>
  <c r="O47" i="53"/>
  <c r="O48" i="53"/>
  <c r="O49" i="53"/>
  <c r="O50" i="53"/>
  <c r="O51" i="53"/>
  <c r="O23" i="53"/>
  <c r="O24" i="53"/>
  <c r="O25" i="53"/>
  <c r="O26" i="53"/>
  <c r="O27" i="53"/>
  <c r="O28" i="53"/>
  <c r="O29" i="53"/>
  <c r="O30" i="53"/>
  <c r="O31" i="53"/>
  <c r="N97" i="179" l="1"/>
  <c r="N98" i="179"/>
  <c r="N99" i="179"/>
  <c r="N100" i="179"/>
  <c r="N101" i="179"/>
  <c r="N102" i="179"/>
  <c r="N103" i="179"/>
  <c r="N104" i="179"/>
  <c r="N105" i="179"/>
  <c r="N106" i="179"/>
  <c r="N107" i="179"/>
  <c r="N108" i="179"/>
  <c r="N109" i="179"/>
  <c r="N110" i="179"/>
  <c r="N111" i="179"/>
  <c r="N112" i="179"/>
  <c r="N113" i="179"/>
  <c r="N114" i="179"/>
  <c r="N115" i="179"/>
  <c r="N116" i="179"/>
  <c r="N117" i="179"/>
  <c r="N118" i="179"/>
  <c r="N119" i="179"/>
  <c r="N120" i="179"/>
  <c r="N121" i="179"/>
  <c r="N122" i="179"/>
  <c r="N123" i="179"/>
  <c r="N124" i="179"/>
  <c r="N125" i="179"/>
  <c r="N60" i="179"/>
  <c r="N61" i="179"/>
  <c r="N62" i="179"/>
  <c r="N63" i="179"/>
  <c r="N64" i="179"/>
  <c r="N65" i="179"/>
  <c r="N66" i="179"/>
  <c r="N67" i="179"/>
  <c r="N68" i="179"/>
  <c r="N69" i="179"/>
  <c r="N70" i="179"/>
  <c r="N71" i="179"/>
  <c r="N72" i="179"/>
  <c r="N73" i="179"/>
  <c r="N74" i="179"/>
  <c r="N75" i="179"/>
  <c r="N76" i="179"/>
  <c r="N77" i="179"/>
  <c r="N78" i="179"/>
  <c r="N79" i="179"/>
  <c r="N80" i="179"/>
  <c r="N81" i="179"/>
  <c r="N82" i="179"/>
  <c r="N83" i="179"/>
  <c r="N84" i="179"/>
  <c r="N85" i="179"/>
  <c r="N86" i="179"/>
  <c r="N87" i="179"/>
  <c r="N88" i="179"/>
  <c r="N23" i="179"/>
  <c r="N24" i="179"/>
  <c r="N25" i="179"/>
  <c r="N26" i="179"/>
  <c r="N27" i="179"/>
  <c r="N28" i="179"/>
  <c r="N29" i="179"/>
  <c r="N30" i="179"/>
  <c r="N31" i="179"/>
  <c r="N32" i="179"/>
  <c r="N33" i="179"/>
  <c r="N34" i="179"/>
  <c r="N35" i="179"/>
  <c r="N36" i="179"/>
  <c r="N37" i="179"/>
  <c r="N38" i="179"/>
  <c r="N39" i="179"/>
  <c r="N40" i="179"/>
  <c r="N41" i="179"/>
  <c r="N42" i="179"/>
  <c r="N43" i="179"/>
  <c r="N44" i="179"/>
  <c r="N45" i="179"/>
  <c r="N46" i="179"/>
  <c r="N47" i="179"/>
  <c r="N48" i="179"/>
  <c r="N49" i="179"/>
  <c r="N50" i="179"/>
  <c r="N51" i="179"/>
  <c r="N97" i="178"/>
  <c r="N98" i="178"/>
  <c r="N99" i="178"/>
  <c r="N100" i="178"/>
  <c r="N101" i="178"/>
  <c r="N102" i="178"/>
  <c r="N103" i="178"/>
  <c r="N104" i="178"/>
  <c r="N105" i="178"/>
  <c r="N106" i="178"/>
  <c r="N107" i="178"/>
  <c r="N108" i="178"/>
  <c r="N109" i="178"/>
  <c r="N110" i="178"/>
  <c r="N111" i="178"/>
  <c r="N112" i="178"/>
  <c r="N113" i="178"/>
  <c r="N114" i="178"/>
  <c r="N115" i="178"/>
  <c r="N116" i="178"/>
  <c r="N117" i="178"/>
  <c r="N118" i="178"/>
  <c r="N119" i="178"/>
  <c r="N120" i="178"/>
  <c r="N121" i="178"/>
  <c r="N122" i="178"/>
  <c r="N123" i="178"/>
  <c r="N124" i="178"/>
  <c r="N125" i="178"/>
  <c r="N60" i="178"/>
  <c r="N61" i="178"/>
  <c r="N62" i="178"/>
  <c r="N63" i="178"/>
  <c r="N64" i="178"/>
  <c r="N65" i="178"/>
  <c r="N66" i="178"/>
  <c r="N67" i="178"/>
  <c r="N68" i="178"/>
  <c r="N69" i="178"/>
  <c r="N70" i="178"/>
  <c r="N71" i="178"/>
  <c r="N72" i="178"/>
  <c r="N73" i="178"/>
  <c r="N74" i="178"/>
  <c r="N75" i="178"/>
  <c r="N76" i="178"/>
  <c r="N77" i="178"/>
  <c r="N78" i="178"/>
  <c r="N79" i="178"/>
  <c r="N80" i="178"/>
  <c r="N81" i="178"/>
  <c r="N82" i="178"/>
  <c r="N83" i="178"/>
  <c r="N84" i="178"/>
  <c r="N85" i="178"/>
  <c r="N86" i="178"/>
  <c r="N87" i="178"/>
  <c r="N88" i="178"/>
  <c r="N23" i="178"/>
  <c r="N24" i="178"/>
  <c r="N25" i="178"/>
  <c r="N26" i="178"/>
  <c r="N27" i="178"/>
  <c r="N28" i="178"/>
  <c r="N29" i="178"/>
  <c r="N30" i="178"/>
  <c r="N31" i="178"/>
  <c r="N32" i="178"/>
  <c r="N33" i="178"/>
  <c r="N34" i="178"/>
  <c r="N35" i="178"/>
  <c r="N36" i="178"/>
  <c r="N37" i="178"/>
  <c r="N38" i="178"/>
  <c r="N39" i="178"/>
  <c r="N40" i="178"/>
  <c r="N41" i="178"/>
  <c r="N42" i="178"/>
  <c r="N43" i="178"/>
  <c r="N44" i="178"/>
  <c r="N45" i="178"/>
  <c r="N46" i="178"/>
  <c r="N47" i="178"/>
  <c r="N48" i="178"/>
  <c r="N49" i="178"/>
  <c r="N50" i="178"/>
  <c r="N51" i="178"/>
  <c r="N97" i="177"/>
  <c r="N98" i="177"/>
  <c r="N99" i="177"/>
  <c r="N100" i="177"/>
  <c r="N101" i="177"/>
  <c r="N102" i="177"/>
  <c r="N103" i="177"/>
  <c r="N104" i="177"/>
  <c r="N105" i="177"/>
  <c r="N106" i="177"/>
  <c r="N107" i="177"/>
  <c r="N108" i="177"/>
  <c r="N109" i="177"/>
  <c r="N110" i="177"/>
  <c r="N111" i="177"/>
  <c r="N112" i="177"/>
  <c r="N113" i="177"/>
  <c r="N114" i="177"/>
  <c r="N115" i="177"/>
  <c r="N116" i="177"/>
  <c r="N117" i="177"/>
  <c r="N118" i="177"/>
  <c r="N119" i="177"/>
  <c r="N120" i="177"/>
  <c r="N121" i="177"/>
  <c r="N122" i="177"/>
  <c r="N123" i="177"/>
  <c r="N124" i="177"/>
  <c r="N125" i="177"/>
  <c r="N60" i="177"/>
  <c r="N61" i="177"/>
  <c r="N62" i="177"/>
  <c r="N63" i="177"/>
  <c r="N64" i="177"/>
  <c r="N65" i="177"/>
  <c r="N66" i="177"/>
  <c r="N67" i="177"/>
  <c r="N68" i="177"/>
  <c r="N69" i="177"/>
  <c r="N70" i="177"/>
  <c r="N71" i="177"/>
  <c r="N72" i="177"/>
  <c r="N73" i="177"/>
  <c r="N74" i="177"/>
  <c r="N75" i="177"/>
  <c r="N76" i="177"/>
  <c r="N77" i="177"/>
  <c r="N78" i="177"/>
  <c r="N79" i="177"/>
  <c r="N80" i="177"/>
  <c r="N81" i="177"/>
  <c r="N82" i="177"/>
  <c r="N83" i="177"/>
  <c r="N84" i="177"/>
  <c r="N85" i="177"/>
  <c r="N86" i="177"/>
  <c r="N87" i="177"/>
  <c r="N88" i="177"/>
  <c r="N23" i="177"/>
  <c r="N24" i="177"/>
  <c r="N25" i="177"/>
  <c r="N26" i="177"/>
  <c r="N27" i="177"/>
  <c r="N28" i="177"/>
  <c r="N29" i="177"/>
  <c r="N30" i="177"/>
  <c r="N31" i="177"/>
  <c r="N32" i="177"/>
  <c r="N33" i="177"/>
  <c r="N34" i="177"/>
  <c r="N35" i="177"/>
  <c r="N36" i="177"/>
  <c r="N37" i="177"/>
  <c r="N38" i="177"/>
  <c r="N39" i="177"/>
  <c r="N40" i="177"/>
  <c r="N41" i="177"/>
  <c r="N42" i="177"/>
  <c r="N43" i="177"/>
  <c r="N44" i="177"/>
  <c r="N45" i="177"/>
  <c r="N46" i="177"/>
  <c r="N47" i="177"/>
  <c r="N48" i="177"/>
  <c r="N49" i="177"/>
  <c r="N50" i="177"/>
  <c r="N51" i="177"/>
  <c r="N97" i="176"/>
  <c r="N98" i="176"/>
  <c r="N99" i="176"/>
  <c r="N100" i="176"/>
  <c r="N101" i="176"/>
  <c r="N102" i="176"/>
  <c r="N103" i="176"/>
  <c r="N104" i="176"/>
  <c r="N105" i="176"/>
  <c r="N106" i="176"/>
  <c r="N107" i="176"/>
  <c r="N108" i="176"/>
  <c r="N109" i="176"/>
  <c r="N110" i="176"/>
  <c r="N111" i="176"/>
  <c r="N112" i="176"/>
  <c r="N113" i="176"/>
  <c r="N114" i="176"/>
  <c r="N115" i="176"/>
  <c r="N116" i="176"/>
  <c r="N117" i="176"/>
  <c r="N118" i="176"/>
  <c r="N119" i="176"/>
  <c r="N120" i="176"/>
  <c r="N121" i="176"/>
  <c r="N122" i="176"/>
  <c r="N123" i="176"/>
  <c r="N124" i="176"/>
  <c r="N125" i="176"/>
  <c r="N60" i="176"/>
  <c r="N61" i="176"/>
  <c r="N62" i="176"/>
  <c r="N63" i="176"/>
  <c r="N64" i="176"/>
  <c r="N65" i="176"/>
  <c r="N66" i="176"/>
  <c r="N67" i="176"/>
  <c r="N68" i="176"/>
  <c r="N69" i="176"/>
  <c r="N70" i="176"/>
  <c r="N71" i="176"/>
  <c r="N72" i="176"/>
  <c r="N73" i="176"/>
  <c r="N74" i="176"/>
  <c r="N75" i="176"/>
  <c r="N76" i="176"/>
  <c r="N77" i="176"/>
  <c r="N78" i="176"/>
  <c r="N79" i="176"/>
  <c r="N80" i="176"/>
  <c r="N81" i="176"/>
  <c r="N82" i="176"/>
  <c r="N83" i="176"/>
  <c r="N84" i="176"/>
  <c r="N85" i="176"/>
  <c r="N86" i="176"/>
  <c r="N87" i="176"/>
  <c r="N88" i="176"/>
  <c r="N23" i="176"/>
  <c r="N24" i="176"/>
  <c r="N25" i="176"/>
  <c r="N26" i="176"/>
  <c r="N27" i="176"/>
  <c r="N28" i="176"/>
  <c r="N29" i="176"/>
  <c r="N30" i="176"/>
  <c r="N31" i="176"/>
  <c r="N32" i="176"/>
  <c r="N33" i="176"/>
  <c r="N34" i="176"/>
  <c r="N35" i="176"/>
  <c r="N36" i="176"/>
  <c r="N37" i="176"/>
  <c r="N38" i="176"/>
  <c r="N39" i="176"/>
  <c r="N40" i="176"/>
  <c r="N41" i="176"/>
  <c r="N42" i="176"/>
  <c r="N43" i="176"/>
  <c r="N44" i="176"/>
  <c r="N45" i="176"/>
  <c r="N46" i="176"/>
  <c r="N47" i="176"/>
  <c r="N48" i="176"/>
  <c r="N49" i="176"/>
  <c r="N50" i="176"/>
  <c r="N51" i="176"/>
  <c r="N97" i="175"/>
  <c r="N98" i="175"/>
  <c r="N99" i="175"/>
  <c r="N100" i="175"/>
  <c r="N101" i="175"/>
  <c r="N102" i="175"/>
  <c r="N103" i="175"/>
  <c r="N104" i="175"/>
  <c r="N105" i="175"/>
  <c r="N106" i="175"/>
  <c r="N107" i="175"/>
  <c r="N108" i="175"/>
  <c r="N109" i="175"/>
  <c r="N110" i="175"/>
  <c r="N111" i="175"/>
  <c r="N112" i="175"/>
  <c r="N113" i="175"/>
  <c r="N114" i="175"/>
  <c r="N115" i="175"/>
  <c r="N116" i="175"/>
  <c r="N117" i="175"/>
  <c r="N118" i="175"/>
  <c r="N119" i="175"/>
  <c r="N120" i="175"/>
  <c r="N121" i="175"/>
  <c r="N122" i="175"/>
  <c r="N123" i="175"/>
  <c r="N124" i="175"/>
  <c r="N125" i="175"/>
  <c r="N60" i="175"/>
  <c r="N61" i="175"/>
  <c r="N62" i="175"/>
  <c r="N63" i="175"/>
  <c r="N64" i="175"/>
  <c r="N65" i="175"/>
  <c r="N66" i="175"/>
  <c r="N67" i="175"/>
  <c r="N68" i="175"/>
  <c r="N69" i="175"/>
  <c r="N70" i="175"/>
  <c r="N71" i="175"/>
  <c r="N72" i="175"/>
  <c r="N73" i="175"/>
  <c r="N74" i="175"/>
  <c r="N75" i="175"/>
  <c r="N76" i="175"/>
  <c r="N77" i="175"/>
  <c r="N78" i="175"/>
  <c r="N79" i="175"/>
  <c r="N80" i="175"/>
  <c r="N81" i="175"/>
  <c r="N82" i="175"/>
  <c r="N83" i="175"/>
  <c r="N84" i="175"/>
  <c r="N85" i="175"/>
  <c r="N86" i="175"/>
  <c r="N87" i="175"/>
  <c r="N88" i="175"/>
  <c r="N23" i="175"/>
  <c r="N24" i="175"/>
  <c r="N25" i="175"/>
  <c r="N26" i="175"/>
  <c r="N27" i="175"/>
  <c r="N28" i="175"/>
  <c r="N29" i="175"/>
  <c r="N30" i="175"/>
  <c r="N31" i="175"/>
  <c r="N32" i="175"/>
  <c r="N33" i="175"/>
  <c r="N34" i="175"/>
  <c r="N35" i="175"/>
  <c r="N36" i="175"/>
  <c r="N37" i="175"/>
  <c r="N38" i="175"/>
  <c r="N39" i="175"/>
  <c r="N40" i="175"/>
  <c r="N41" i="175"/>
  <c r="N42" i="175"/>
  <c r="N43" i="175"/>
  <c r="N44" i="175"/>
  <c r="N45" i="175"/>
  <c r="N46" i="175"/>
  <c r="N47" i="175"/>
  <c r="N48" i="175"/>
  <c r="N49" i="175"/>
  <c r="N50" i="175"/>
  <c r="N51" i="175"/>
  <c r="N97" i="174"/>
  <c r="N98" i="174"/>
  <c r="N99" i="174"/>
  <c r="N100" i="174"/>
  <c r="N101" i="174"/>
  <c r="N102" i="174"/>
  <c r="N103" i="174"/>
  <c r="N104" i="174"/>
  <c r="N105" i="174"/>
  <c r="N106" i="174"/>
  <c r="N107" i="174"/>
  <c r="N108" i="174"/>
  <c r="N109" i="174"/>
  <c r="N110" i="174"/>
  <c r="N111" i="174"/>
  <c r="N112" i="174"/>
  <c r="N113" i="174"/>
  <c r="N114" i="174"/>
  <c r="N115" i="174"/>
  <c r="N116" i="174"/>
  <c r="N117" i="174"/>
  <c r="N118" i="174"/>
  <c r="N119" i="174"/>
  <c r="N120" i="174"/>
  <c r="N121" i="174"/>
  <c r="N122" i="174"/>
  <c r="N123" i="174"/>
  <c r="N124" i="174"/>
  <c r="N125" i="174"/>
  <c r="N60" i="174"/>
  <c r="N61" i="174"/>
  <c r="N62" i="174"/>
  <c r="N63" i="174"/>
  <c r="N64" i="174"/>
  <c r="N65" i="174"/>
  <c r="N66" i="174"/>
  <c r="N67" i="174"/>
  <c r="N68" i="174"/>
  <c r="N69" i="174"/>
  <c r="N70" i="174"/>
  <c r="N71" i="174"/>
  <c r="N72" i="174"/>
  <c r="N73" i="174"/>
  <c r="N74" i="174"/>
  <c r="N75" i="174"/>
  <c r="N76" i="174"/>
  <c r="N77" i="174"/>
  <c r="N78" i="174"/>
  <c r="N79" i="174"/>
  <c r="N80" i="174"/>
  <c r="N81" i="174"/>
  <c r="N82" i="174"/>
  <c r="N83" i="174"/>
  <c r="N84" i="174"/>
  <c r="N85" i="174"/>
  <c r="N86" i="174"/>
  <c r="N87" i="174"/>
  <c r="N88" i="174"/>
  <c r="N23" i="174"/>
  <c r="N24" i="174"/>
  <c r="N25" i="174"/>
  <c r="N26" i="174"/>
  <c r="N27" i="174"/>
  <c r="N28" i="174"/>
  <c r="N29" i="174"/>
  <c r="N30" i="174"/>
  <c r="N31" i="174"/>
  <c r="N32" i="174"/>
  <c r="N33" i="174"/>
  <c r="N34" i="174"/>
  <c r="N35" i="174"/>
  <c r="N36" i="174"/>
  <c r="N37" i="174"/>
  <c r="N38" i="174"/>
  <c r="N39" i="174"/>
  <c r="N40" i="174"/>
  <c r="N41" i="174"/>
  <c r="N42" i="174"/>
  <c r="N43" i="174"/>
  <c r="N44" i="174"/>
  <c r="N45" i="174"/>
  <c r="N46" i="174"/>
  <c r="N47" i="174"/>
  <c r="N48" i="174"/>
  <c r="N49" i="174"/>
  <c r="N50" i="174"/>
  <c r="N51" i="174"/>
  <c r="N97" i="173"/>
  <c r="N98" i="173"/>
  <c r="N99" i="173"/>
  <c r="N100" i="173"/>
  <c r="N101" i="173"/>
  <c r="N102" i="173"/>
  <c r="N103" i="173"/>
  <c r="N104" i="173"/>
  <c r="N105" i="173"/>
  <c r="N106" i="173"/>
  <c r="N107" i="173"/>
  <c r="N108" i="173"/>
  <c r="N109" i="173"/>
  <c r="N110" i="173"/>
  <c r="N111" i="173"/>
  <c r="N112" i="173"/>
  <c r="N113" i="173"/>
  <c r="N114" i="173"/>
  <c r="N115" i="173"/>
  <c r="N116" i="173"/>
  <c r="N117" i="173"/>
  <c r="N118" i="173"/>
  <c r="N119" i="173"/>
  <c r="N120" i="173"/>
  <c r="N121" i="173"/>
  <c r="N122" i="173"/>
  <c r="N123" i="173"/>
  <c r="N124" i="173"/>
  <c r="N125" i="173"/>
  <c r="N60" i="173"/>
  <c r="N61" i="173"/>
  <c r="N62" i="173"/>
  <c r="N63" i="173"/>
  <c r="N64" i="173"/>
  <c r="N65" i="173"/>
  <c r="N66" i="173"/>
  <c r="N67" i="173"/>
  <c r="N68" i="173"/>
  <c r="N69" i="173"/>
  <c r="N70" i="173"/>
  <c r="N71" i="173"/>
  <c r="N72" i="173"/>
  <c r="N73" i="173"/>
  <c r="N74" i="173"/>
  <c r="N75" i="173"/>
  <c r="N76" i="173"/>
  <c r="N77" i="173"/>
  <c r="N78" i="173"/>
  <c r="N79" i="173"/>
  <c r="N80" i="173"/>
  <c r="N81" i="173"/>
  <c r="N82" i="173"/>
  <c r="N83" i="173"/>
  <c r="N84" i="173"/>
  <c r="N85" i="173"/>
  <c r="N86" i="173"/>
  <c r="N87" i="173"/>
  <c r="N88" i="173"/>
  <c r="N23" i="173"/>
  <c r="N24" i="173"/>
  <c r="N25" i="173"/>
  <c r="N26" i="173"/>
  <c r="N27" i="173"/>
  <c r="N28" i="173"/>
  <c r="N29" i="173"/>
  <c r="N30" i="173"/>
  <c r="N31" i="173"/>
  <c r="N32" i="173"/>
  <c r="N33" i="173"/>
  <c r="N34" i="173"/>
  <c r="N35" i="173"/>
  <c r="N36" i="173"/>
  <c r="N37" i="173"/>
  <c r="N38" i="173"/>
  <c r="N39" i="173"/>
  <c r="N40" i="173"/>
  <c r="N41" i="173"/>
  <c r="N42" i="173"/>
  <c r="N43" i="173"/>
  <c r="N44" i="173"/>
  <c r="N45" i="173"/>
  <c r="N46" i="173"/>
  <c r="N47" i="173"/>
  <c r="N48" i="173"/>
  <c r="N49" i="173"/>
  <c r="N50" i="173"/>
  <c r="N51" i="173"/>
  <c r="N97" i="172"/>
  <c r="N98" i="172"/>
  <c r="N99" i="172"/>
  <c r="N100" i="172"/>
  <c r="N101" i="172"/>
  <c r="N102" i="172"/>
  <c r="N103" i="172"/>
  <c r="N104" i="172"/>
  <c r="N105" i="172"/>
  <c r="N106" i="172"/>
  <c r="N107" i="172"/>
  <c r="N108" i="172"/>
  <c r="N109" i="172"/>
  <c r="N110" i="172"/>
  <c r="N111" i="172"/>
  <c r="N112" i="172"/>
  <c r="N113" i="172"/>
  <c r="N114" i="172"/>
  <c r="N115" i="172"/>
  <c r="N116" i="172"/>
  <c r="N117" i="172"/>
  <c r="N118" i="172"/>
  <c r="N119" i="172"/>
  <c r="N120" i="172"/>
  <c r="N121" i="172"/>
  <c r="N122" i="172"/>
  <c r="N123" i="172"/>
  <c r="N124" i="172"/>
  <c r="N125" i="172"/>
  <c r="N60" i="172"/>
  <c r="N61" i="172"/>
  <c r="N62" i="172"/>
  <c r="N63" i="172"/>
  <c r="N64" i="172"/>
  <c r="N65" i="172"/>
  <c r="N66" i="172"/>
  <c r="N67" i="172"/>
  <c r="N68" i="172"/>
  <c r="N69" i="172"/>
  <c r="N70" i="172"/>
  <c r="N71" i="172"/>
  <c r="N72" i="172"/>
  <c r="N73" i="172"/>
  <c r="N74" i="172"/>
  <c r="N75" i="172"/>
  <c r="N76" i="172"/>
  <c r="N77" i="172"/>
  <c r="N78" i="172"/>
  <c r="N79" i="172"/>
  <c r="N80" i="172"/>
  <c r="N81" i="172"/>
  <c r="N82" i="172"/>
  <c r="N83" i="172"/>
  <c r="N84" i="172"/>
  <c r="N85" i="172"/>
  <c r="N86" i="172"/>
  <c r="N87" i="172"/>
  <c r="N88" i="172"/>
  <c r="N23" i="172"/>
  <c r="N24" i="172"/>
  <c r="N25" i="172"/>
  <c r="N26" i="172"/>
  <c r="N27" i="172"/>
  <c r="N28" i="172"/>
  <c r="N29" i="172"/>
  <c r="N30" i="172"/>
  <c r="N31" i="172"/>
  <c r="N32" i="172"/>
  <c r="N33" i="172"/>
  <c r="N34" i="172"/>
  <c r="N35" i="172"/>
  <c r="N36" i="172"/>
  <c r="N37" i="172"/>
  <c r="N38" i="172"/>
  <c r="N39" i="172"/>
  <c r="N40" i="172"/>
  <c r="N41" i="172"/>
  <c r="N42" i="172"/>
  <c r="N43" i="172"/>
  <c r="N44" i="172"/>
  <c r="N45" i="172"/>
  <c r="N46" i="172"/>
  <c r="N47" i="172"/>
  <c r="N48" i="172"/>
  <c r="N49" i="172"/>
  <c r="N50" i="172"/>
  <c r="N51" i="172"/>
  <c r="N97" i="171"/>
  <c r="N98" i="171"/>
  <c r="N99" i="171"/>
  <c r="N100" i="171"/>
  <c r="N101" i="171"/>
  <c r="N102" i="171"/>
  <c r="N103" i="171"/>
  <c r="N104" i="171"/>
  <c r="N105" i="171"/>
  <c r="N106" i="171"/>
  <c r="N107" i="171"/>
  <c r="N108" i="171"/>
  <c r="N109" i="171"/>
  <c r="N110" i="171"/>
  <c r="N111" i="171"/>
  <c r="N112" i="171"/>
  <c r="N113" i="171"/>
  <c r="N114" i="171"/>
  <c r="N115" i="171"/>
  <c r="N116" i="171"/>
  <c r="N117" i="171"/>
  <c r="N118" i="171"/>
  <c r="N119" i="171"/>
  <c r="N120" i="171"/>
  <c r="N121" i="171"/>
  <c r="N122" i="171"/>
  <c r="N123" i="171"/>
  <c r="N124" i="171"/>
  <c r="N125" i="171"/>
  <c r="N60" i="171"/>
  <c r="N61" i="171"/>
  <c r="N62" i="171"/>
  <c r="N63" i="171"/>
  <c r="N64" i="171"/>
  <c r="N65" i="171"/>
  <c r="N66" i="171"/>
  <c r="N67" i="171"/>
  <c r="N68" i="171"/>
  <c r="N69" i="171"/>
  <c r="N70" i="171"/>
  <c r="N71" i="171"/>
  <c r="N72" i="171"/>
  <c r="N73" i="171"/>
  <c r="N74" i="171"/>
  <c r="N75" i="171"/>
  <c r="N76" i="171"/>
  <c r="N77" i="171"/>
  <c r="N78" i="171"/>
  <c r="N79" i="171"/>
  <c r="N80" i="171"/>
  <c r="N81" i="171"/>
  <c r="N82" i="171"/>
  <c r="N83" i="171"/>
  <c r="N84" i="171"/>
  <c r="N85" i="171"/>
  <c r="N86" i="171"/>
  <c r="N87" i="171"/>
  <c r="N88" i="171"/>
  <c r="O59" i="171"/>
  <c r="N23" i="171"/>
  <c r="N24" i="171"/>
  <c r="N25" i="171"/>
  <c r="N26" i="171"/>
  <c r="N27" i="171"/>
  <c r="N28" i="171"/>
  <c r="N29" i="171"/>
  <c r="N30" i="171"/>
  <c r="N31" i="171"/>
  <c r="N32" i="171"/>
  <c r="N33" i="171"/>
  <c r="N34" i="171"/>
  <c r="N35" i="171"/>
  <c r="N36" i="171"/>
  <c r="N37" i="171"/>
  <c r="N38" i="171"/>
  <c r="N39" i="171"/>
  <c r="N40" i="171"/>
  <c r="N41" i="171"/>
  <c r="N42" i="171"/>
  <c r="N43" i="171"/>
  <c r="N44" i="171"/>
  <c r="N45" i="171"/>
  <c r="N46" i="171"/>
  <c r="N47" i="171"/>
  <c r="N48" i="171"/>
  <c r="N49" i="171"/>
  <c r="N50" i="171"/>
  <c r="N51" i="171"/>
  <c r="N97" i="170"/>
  <c r="N98" i="170"/>
  <c r="N99" i="170"/>
  <c r="N100" i="170"/>
  <c r="N101" i="170"/>
  <c r="N102" i="170"/>
  <c r="N103" i="170"/>
  <c r="N104" i="170"/>
  <c r="N105" i="170"/>
  <c r="N106" i="170"/>
  <c r="N107" i="170"/>
  <c r="N108" i="170"/>
  <c r="N109" i="170"/>
  <c r="N110" i="170"/>
  <c r="N111" i="170"/>
  <c r="N112" i="170"/>
  <c r="N113" i="170"/>
  <c r="N114" i="170"/>
  <c r="N115" i="170"/>
  <c r="N116" i="170"/>
  <c r="N117" i="170"/>
  <c r="N118" i="170"/>
  <c r="N119" i="170"/>
  <c r="N120" i="170"/>
  <c r="N121" i="170"/>
  <c r="N122" i="170"/>
  <c r="N123" i="170"/>
  <c r="N124" i="170"/>
  <c r="N125" i="170"/>
  <c r="N60" i="170"/>
  <c r="N61" i="170"/>
  <c r="N62" i="170"/>
  <c r="N63" i="170"/>
  <c r="N64" i="170"/>
  <c r="N65" i="170"/>
  <c r="N66" i="170"/>
  <c r="N67" i="170"/>
  <c r="N68" i="170"/>
  <c r="N69" i="170"/>
  <c r="N70" i="170"/>
  <c r="N71" i="170"/>
  <c r="N72" i="170"/>
  <c r="N73" i="170"/>
  <c r="N74" i="170"/>
  <c r="N75" i="170"/>
  <c r="N76" i="170"/>
  <c r="N77" i="170"/>
  <c r="N78" i="170"/>
  <c r="N79" i="170"/>
  <c r="N80" i="170"/>
  <c r="N81" i="170"/>
  <c r="N82" i="170"/>
  <c r="N83" i="170"/>
  <c r="N84" i="170"/>
  <c r="N85" i="170"/>
  <c r="N86" i="170"/>
  <c r="N87" i="170"/>
  <c r="N88" i="170"/>
  <c r="N23" i="170"/>
  <c r="N24" i="170"/>
  <c r="N25" i="170"/>
  <c r="N26" i="170"/>
  <c r="N27" i="170"/>
  <c r="N28" i="170"/>
  <c r="N29" i="170"/>
  <c r="N30" i="170"/>
  <c r="N31" i="170"/>
  <c r="N32" i="170"/>
  <c r="N33" i="170"/>
  <c r="N34" i="170"/>
  <c r="N35" i="170"/>
  <c r="N36" i="170"/>
  <c r="N37" i="170"/>
  <c r="N38" i="170"/>
  <c r="N39" i="170"/>
  <c r="N40" i="170"/>
  <c r="N41" i="170"/>
  <c r="N42" i="170"/>
  <c r="N43" i="170"/>
  <c r="N44" i="170"/>
  <c r="N45" i="170"/>
  <c r="N46" i="170"/>
  <c r="N47" i="170"/>
  <c r="N48" i="170"/>
  <c r="N49" i="170"/>
  <c r="N50" i="170"/>
  <c r="N51" i="170"/>
  <c r="N97" i="169"/>
  <c r="N98" i="169"/>
  <c r="N99" i="169"/>
  <c r="N100" i="169"/>
  <c r="N101" i="169"/>
  <c r="N102" i="169"/>
  <c r="N103" i="169"/>
  <c r="N104" i="169"/>
  <c r="N105" i="169"/>
  <c r="N106" i="169"/>
  <c r="N107" i="169"/>
  <c r="N108" i="169"/>
  <c r="N109" i="169"/>
  <c r="N110" i="169"/>
  <c r="N111" i="169"/>
  <c r="N112" i="169"/>
  <c r="N113" i="169"/>
  <c r="N114" i="169"/>
  <c r="N115" i="169"/>
  <c r="N116" i="169"/>
  <c r="N117" i="169"/>
  <c r="N118" i="169"/>
  <c r="N119" i="169"/>
  <c r="N120" i="169"/>
  <c r="N121" i="169"/>
  <c r="N122" i="169"/>
  <c r="N123" i="169"/>
  <c r="N124" i="169"/>
  <c r="N125" i="169"/>
  <c r="N60" i="169"/>
  <c r="N61" i="169"/>
  <c r="N62" i="169"/>
  <c r="N63" i="169"/>
  <c r="N64" i="169"/>
  <c r="N65" i="169"/>
  <c r="N66" i="169"/>
  <c r="N67" i="169"/>
  <c r="N68" i="169"/>
  <c r="N69" i="169"/>
  <c r="N70" i="169"/>
  <c r="N71" i="169"/>
  <c r="N72" i="169"/>
  <c r="N73" i="169"/>
  <c r="N74" i="169"/>
  <c r="N75" i="169"/>
  <c r="N76" i="169"/>
  <c r="N77" i="169"/>
  <c r="N78" i="169"/>
  <c r="N79" i="169"/>
  <c r="N80" i="169"/>
  <c r="N81" i="169"/>
  <c r="N82" i="169"/>
  <c r="N83" i="169"/>
  <c r="N84" i="169"/>
  <c r="N85" i="169"/>
  <c r="N86" i="169"/>
  <c r="N87" i="169"/>
  <c r="N88" i="169"/>
  <c r="N23" i="169"/>
  <c r="N24" i="169"/>
  <c r="N25" i="169"/>
  <c r="N26" i="169"/>
  <c r="N27" i="169"/>
  <c r="N28" i="169"/>
  <c r="N29" i="169"/>
  <c r="N30" i="169"/>
  <c r="N31" i="169"/>
  <c r="N32" i="169"/>
  <c r="N33" i="169"/>
  <c r="N34" i="169"/>
  <c r="N35" i="169"/>
  <c r="N36" i="169"/>
  <c r="N37" i="169"/>
  <c r="N38" i="169"/>
  <c r="N39" i="169"/>
  <c r="N40" i="169"/>
  <c r="N41" i="169"/>
  <c r="N42" i="169"/>
  <c r="N43" i="169"/>
  <c r="N44" i="169"/>
  <c r="N45" i="169"/>
  <c r="N46" i="169"/>
  <c r="N47" i="169"/>
  <c r="N48" i="169"/>
  <c r="N49" i="169"/>
  <c r="N50" i="169"/>
  <c r="N51" i="169"/>
  <c r="N97" i="149"/>
  <c r="N98" i="149"/>
  <c r="N99" i="149"/>
  <c r="N100" i="149"/>
  <c r="N101" i="149"/>
  <c r="N102" i="149"/>
  <c r="N103" i="149"/>
  <c r="N104" i="149"/>
  <c r="N105" i="149"/>
  <c r="N106" i="149"/>
  <c r="N107" i="149"/>
  <c r="N108" i="149"/>
  <c r="N109" i="149"/>
  <c r="N110" i="149"/>
  <c r="N111" i="149"/>
  <c r="N112" i="149"/>
  <c r="N113" i="149"/>
  <c r="N114" i="149"/>
  <c r="N115" i="149"/>
  <c r="N116" i="149"/>
  <c r="N117" i="149"/>
  <c r="N118" i="149"/>
  <c r="N119" i="149"/>
  <c r="N120" i="149"/>
  <c r="N121" i="149"/>
  <c r="N122" i="149"/>
  <c r="N123" i="149"/>
  <c r="N124" i="149"/>
  <c r="N125" i="149"/>
  <c r="N60" i="149"/>
  <c r="N61" i="149"/>
  <c r="N62" i="149"/>
  <c r="N63" i="149"/>
  <c r="N64" i="149"/>
  <c r="N65" i="149"/>
  <c r="N66" i="149"/>
  <c r="N67" i="149"/>
  <c r="N68" i="149"/>
  <c r="N69" i="149"/>
  <c r="N70" i="149"/>
  <c r="N71" i="149"/>
  <c r="N72" i="149"/>
  <c r="N73" i="149"/>
  <c r="N74" i="149"/>
  <c r="N75" i="149"/>
  <c r="N76" i="149"/>
  <c r="N77" i="149"/>
  <c r="N78" i="149"/>
  <c r="N79" i="149"/>
  <c r="N80" i="149"/>
  <c r="N81" i="149"/>
  <c r="N82" i="149"/>
  <c r="N83" i="149"/>
  <c r="N84" i="149"/>
  <c r="N85" i="149"/>
  <c r="N86" i="149"/>
  <c r="N87" i="149"/>
  <c r="N88" i="149"/>
  <c r="N23" i="149"/>
  <c r="N24" i="149"/>
  <c r="N25" i="149"/>
  <c r="N26" i="149"/>
  <c r="N27" i="149"/>
  <c r="N28" i="149"/>
  <c r="N29" i="149"/>
  <c r="N30" i="149"/>
  <c r="N31" i="149"/>
  <c r="N32" i="149"/>
  <c r="N33" i="149"/>
  <c r="N34" i="149"/>
  <c r="N35" i="149"/>
  <c r="N36" i="149"/>
  <c r="N37" i="149"/>
  <c r="N38" i="149"/>
  <c r="N39" i="149"/>
  <c r="N40" i="149"/>
  <c r="N41" i="149"/>
  <c r="N42" i="149"/>
  <c r="N43" i="149"/>
  <c r="N44" i="149"/>
  <c r="N45" i="149"/>
  <c r="N46" i="149"/>
  <c r="N47" i="149"/>
  <c r="N48" i="149"/>
  <c r="N49" i="149"/>
  <c r="N50" i="149"/>
  <c r="N51" i="149"/>
  <c r="N97" i="166"/>
  <c r="N98" i="166"/>
  <c r="N99" i="166"/>
  <c r="N100" i="166"/>
  <c r="N101" i="166"/>
  <c r="N102" i="166"/>
  <c r="N103" i="166"/>
  <c r="N104" i="166"/>
  <c r="N105" i="166"/>
  <c r="N106" i="166"/>
  <c r="N107" i="166"/>
  <c r="N108" i="166"/>
  <c r="N109" i="166"/>
  <c r="N110" i="166"/>
  <c r="N111" i="166"/>
  <c r="N112" i="166"/>
  <c r="N113" i="166"/>
  <c r="N114" i="166"/>
  <c r="N115" i="166"/>
  <c r="N116" i="166"/>
  <c r="N117" i="166"/>
  <c r="N118" i="166"/>
  <c r="N119" i="166"/>
  <c r="N120" i="166"/>
  <c r="N121" i="166"/>
  <c r="N122" i="166"/>
  <c r="N123" i="166"/>
  <c r="N124" i="166"/>
  <c r="N125" i="166"/>
  <c r="N60" i="166"/>
  <c r="N61" i="166"/>
  <c r="N62" i="166"/>
  <c r="N63" i="166"/>
  <c r="N64" i="166"/>
  <c r="N65" i="166"/>
  <c r="N66" i="166"/>
  <c r="N67" i="166"/>
  <c r="N68" i="166"/>
  <c r="N69" i="166"/>
  <c r="N70" i="166"/>
  <c r="N71" i="166"/>
  <c r="N72" i="166"/>
  <c r="N73" i="166"/>
  <c r="N74" i="166"/>
  <c r="N75" i="166"/>
  <c r="N76" i="166"/>
  <c r="N77" i="166"/>
  <c r="N78" i="166"/>
  <c r="N79" i="166"/>
  <c r="N80" i="166"/>
  <c r="N81" i="166"/>
  <c r="N82" i="166"/>
  <c r="N83" i="166"/>
  <c r="N84" i="166"/>
  <c r="N85" i="166"/>
  <c r="N86" i="166"/>
  <c r="N87" i="166"/>
  <c r="N88" i="166"/>
  <c r="N23" i="166"/>
  <c r="N24" i="166"/>
  <c r="N25" i="166"/>
  <c r="N26" i="166"/>
  <c r="N27" i="166"/>
  <c r="N28" i="166"/>
  <c r="N29" i="166"/>
  <c r="N30" i="166"/>
  <c r="N31" i="166"/>
  <c r="N32" i="166"/>
  <c r="N33" i="166"/>
  <c r="N34" i="166"/>
  <c r="N35" i="166"/>
  <c r="N36" i="166"/>
  <c r="N37" i="166"/>
  <c r="N38" i="166"/>
  <c r="N39" i="166"/>
  <c r="N40" i="166"/>
  <c r="N41" i="166"/>
  <c r="N42" i="166"/>
  <c r="N43" i="166"/>
  <c r="N44" i="166"/>
  <c r="N45" i="166"/>
  <c r="N46" i="166"/>
  <c r="N47" i="166"/>
  <c r="N48" i="166"/>
  <c r="N49" i="166"/>
  <c r="N50" i="166"/>
  <c r="N51" i="166"/>
  <c r="N97" i="165"/>
  <c r="N98" i="165"/>
  <c r="N99" i="165"/>
  <c r="N100" i="165"/>
  <c r="N101" i="165"/>
  <c r="N102" i="165"/>
  <c r="N103" i="165"/>
  <c r="N104" i="165"/>
  <c r="N105" i="165"/>
  <c r="N106" i="165"/>
  <c r="N107" i="165"/>
  <c r="N108" i="165"/>
  <c r="N109" i="165"/>
  <c r="N110" i="165"/>
  <c r="N111" i="165"/>
  <c r="N112" i="165"/>
  <c r="N113" i="165"/>
  <c r="N114" i="165"/>
  <c r="N115" i="165"/>
  <c r="N116" i="165"/>
  <c r="N117" i="165"/>
  <c r="N118" i="165"/>
  <c r="N119" i="165"/>
  <c r="N120" i="165"/>
  <c r="N121" i="165"/>
  <c r="N122" i="165"/>
  <c r="N123" i="165"/>
  <c r="N124" i="165"/>
  <c r="N125" i="165"/>
  <c r="N60" i="165"/>
  <c r="N61" i="165"/>
  <c r="N62" i="165"/>
  <c r="N63" i="165"/>
  <c r="N64" i="165"/>
  <c r="N65" i="165"/>
  <c r="N66" i="165"/>
  <c r="N67" i="165"/>
  <c r="N68" i="165"/>
  <c r="N69" i="165"/>
  <c r="N70" i="165"/>
  <c r="N71" i="165"/>
  <c r="N72" i="165"/>
  <c r="N73" i="165"/>
  <c r="N74" i="165"/>
  <c r="N75" i="165"/>
  <c r="N76" i="165"/>
  <c r="N77" i="165"/>
  <c r="N78" i="165"/>
  <c r="N79" i="165"/>
  <c r="N80" i="165"/>
  <c r="N81" i="165"/>
  <c r="N82" i="165"/>
  <c r="N83" i="165"/>
  <c r="N84" i="165"/>
  <c r="N85" i="165"/>
  <c r="N86" i="165"/>
  <c r="N87" i="165"/>
  <c r="N88" i="165"/>
  <c r="N23" i="165"/>
  <c r="N24" i="165"/>
  <c r="N25" i="165"/>
  <c r="N26" i="165"/>
  <c r="N27" i="165"/>
  <c r="N28" i="165"/>
  <c r="N29" i="165"/>
  <c r="N30" i="165"/>
  <c r="N31" i="165"/>
  <c r="N32" i="165"/>
  <c r="N33" i="165"/>
  <c r="N34" i="165"/>
  <c r="N35" i="165"/>
  <c r="N36" i="165"/>
  <c r="N37" i="165"/>
  <c r="N38" i="165"/>
  <c r="N39" i="165"/>
  <c r="N40" i="165"/>
  <c r="N41" i="165"/>
  <c r="N42" i="165"/>
  <c r="N43" i="165"/>
  <c r="N44" i="165"/>
  <c r="N45" i="165"/>
  <c r="N46" i="165"/>
  <c r="N47" i="165"/>
  <c r="N48" i="165"/>
  <c r="N49" i="165"/>
  <c r="N50" i="165"/>
  <c r="N51" i="165"/>
  <c r="N97" i="164"/>
  <c r="N98" i="164"/>
  <c r="N99" i="164"/>
  <c r="N100" i="164"/>
  <c r="N101" i="164"/>
  <c r="N102" i="164"/>
  <c r="N103" i="164"/>
  <c r="N104" i="164"/>
  <c r="N105" i="164"/>
  <c r="N106" i="164"/>
  <c r="N107" i="164"/>
  <c r="N108" i="164"/>
  <c r="N109" i="164"/>
  <c r="N110" i="164"/>
  <c r="N111" i="164"/>
  <c r="N112" i="164"/>
  <c r="N113" i="164"/>
  <c r="N114" i="164"/>
  <c r="N115" i="164"/>
  <c r="N116" i="164"/>
  <c r="N117" i="164"/>
  <c r="N118" i="164"/>
  <c r="N119" i="164"/>
  <c r="N120" i="164"/>
  <c r="N121" i="164"/>
  <c r="N122" i="164"/>
  <c r="N123" i="164"/>
  <c r="N124" i="164"/>
  <c r="N125" i="164"/>
  <c r="N60" i="164"/>
  <c r="N61" i="164"/>
  <c r="N62" i="164"/>
  <c r="N63" i="164"/>
  <c r="N64" i="164"/>
  <c r="N65" i="164"/>
  <c r="N66" i="164"/>
  <c r="N67" i="164"/>
  <c r="N68" i="164"/>
  <c r="N69" i="164"/>
  <c r="N70" i="164"/>
  <c r="N71" i="164"/>
  <c r="N72" i="164"/>
  <c r="N73" i="164"/>
  <c r="N74" i="164"/>
  <c r="N75" i="164"/>
  <c r="N76" i="164"/>
  <c r="N77" i="164"/>
  <c r="N78" i="164"/>
  <c r="N79" i="164"/>
  <c r="N80" i="164"/>
  <c r="N81" i="164"/>
  <c r="N82" i="164"/>
  <c r="N83" i="164"/>
  <c r="N84" i="164"/>
  <c r="N85" i="164"/>
  <c r="N86" i="164"/>
  <c r="N87" i="164"/>
  <c r="N88" i="164"/>
  <c r="N23" i="164"/>
  <c r="N24" i="164"/>
  <c r="N25" i="164"/>
  <c r="N26" i="164"/>
  <c r="N27" i="164"/>
  <c r="N28" i="164"/>
  <c r="N29" i="164"/>
  <c r="N30" i="164"/>
  <c r="N31" i="164"/>
  <c r="N32" i="164"/>
  <c r="N33" i="164"/>
  <c r="N34" i="164"/>
  <c r="N35" i="164"/>
  <c r="N36" i="164"/>
  <c r="N37" i="164"/>
  <c r="N38" i="164"/>
  <c r="N39" i="164"/>
  <c r="N40" i="164"/>
  <c r="N41" i="164"/>
  <c r="N42" i="164"/>
  <c r="N43" i="164"/>
  <c r="N44" i="164"/>
  <c r="N45" i="164"/>
  <c r="N46" i="164"/>
  <c r="N47" i="164"/>
  <c r="N48" i="164"/>
  <c r="N49" i="164"/>
  <c r="N50" i="164"/>
  <c r="N51" i="164"/>
  <c r="N97" i="163"/>
  <c r="N98" i="163"/>
  <c r="N99" i="163"/>
  <c r="N100" i="163"/>
  <c r="N101" i="163"/>
  <c r="N102" i="163"/>
  <c r="N103" i="163"/>
  <c r="N104" i="163"/>
  <c r="N105" i="163"/>
  <c r="N106" i="163"/>
  <c r="N107" i="163"/>
  <c r="N108" i="163"/>
  <c r="N109" i="163"/>
  <c r="N110" i="163"/>
  <c r="N111" i="163"/>
  <c r="N112" i="163"/>
  <c r="N113" i="163"/>
  <c r="N114" i="163"/>
  <c r="N115" i="163"/>
  <c r="N116" i="163"/>
  <c r="N117" i="163"/>
  <c r="N118" i="163"/>
  <c r="N119" i="163"/>
  <c r="N120" i="163"/>
  <c r="N121" i="163"/>
  <c r="N122" i="163"/>
  <c r="N123" i="163"/>
  <c r="N124" i="163"/>
  <c r="N125" i="163"/>
  <c r="N60" i="163"/>
  <c r="N61" i="163"/>
  <c r="N62" i="163"/>
  <c r="N63" i="163"/>
  <c r="N64" i="163"/>
  <c r="N65" i="163"/>
  <c r="N66" i="163"/>
  <c r="N67" i="163"/>
  <c r="N68" i="163"/>
  <c r="N69" i="163"/>
  <c r="N70" i="163"/>
  <c r="N71" i="163"/>
  <c r="N72" i="163"/>
  <c r="N73" i="163"/>
  <c r="N74" i="163"/>
  <c r="N75" i="163"/>
  <c r="N76" i="163"/>
  <c r="N77" i="163"/>
  <c r="N78" i="163"/>
  <c r="N79" i="163"/>
  <c r="N80" i="163"/>
  <c r="N81" i="163"/>
  <c r="N82" i="163"/>
  <c r="N83" i="163"/>
  <c r="N84" i="163"/>
  <c r="N85" i="163"/>
  <c r="N86" i="163"/>
  <c r="N87" i="163"/>
  <c r="N88" i="163"/>
  <c r="N23" i="163"/>
  <c r="N24" i="163"/>
  <c r="N25" i="163"/>
  <c r="N26" i="163"/>
  <c r="N27" i="163"/>
  <c r="N28" i="163"/>
  <c r="N29" i="163"/>
  <c r="N30" i="163"/>
  <c r="N31" i="163"/>
  <c r="N32" i="163"/>
  <c r="N33" i="163"/>
  <c r="N34" i="163"/>
  <c r="N35" i="163"/>
  <c r="N36" i="163"/>
  <c r="N37" i="163"/>
  <c r="N38" i="163"/>
  <c r="N39" i="163"/>
  <c r="N40" i="163"/>
  <c r="N41" i="163"/>
  <c r="N42" i="163"/>
  <c r="N43" i="163"/>
  <c r="N44" i="163"/>
  <c r="N45" i="163"/>
  <c r="N46" i="163"/>
  <c r="N47" i="163"/>
  <c r="N48" i="163"/>
  <c r="N49" i="163"/>
  <c r="N50" i="163"/>
  <c r="N51" i="163"/>
  <c r="N97" i="168"/>
  <c r="N98" i="168"/>
  <c r="N99" i="168"/>
  <c r="N100" i="168"/>
  <c r="N101" i="168"/>
  <c r="N102" i="168"/>
  <c r="N103" i="168"/>
  <c r="N104" i="168"/>
  <c r="N105" i="168"/>
  <c r="N106" i="168"/>
  <c r="N107" i="168"/>
  <c r="N108" i="168"/>
  <c r="N109" i="168"/>
  <c r="N110" i="168"/>
  <c r="N111" i="168"/>
  <c r="N112" i="168"/>
  <c r="N113" i="168"/>
  <c r="N114" i="168"/>
  <c r="N115" i="168"/>
  <c r="N116" i="168"/>
  <c r="N117" i="168"/>
  <c r="N118" i="168"/>
  <c r="N119" i="168"/>
  <c r="N120" i="168"/>
  <c r="N121" i="168"/>
  <c r="N122" i="168"/>
  <c r="N123" i="168"/>
  <c r="N124" i="168"/>
  <c r="N125" i="168"/>
  <c r="N60" i="168"/>
  <c r="N61" i="168"/>
  <c r="N62" i="168"/>
  <c r="N63" i="168"/>
  <c r="N64" i="168"/>
  <c r="N65" i="168"/>
  <c r="N66" i="168"/>
  <c r="N67" i="168"/>
  <c r="N68" i="168"/>
  <c r="N69" i="168"/>
  <c r="N70" i="168"/>
  <c r="N71" i="168"/>
  <c r="N72" i="168"/>
  <c r="N73" i="168"/>
  <c r="N74" i="168"/>
  <c r="N75" i="168"/>
  <c r="N76" i="168"/>
  <c r="N77" i="168"/>
  <c r="N78" i="168"/>
  <c r="N79" i="168"/>
  <c r="N80" i="168"/>
  <c r="N81" i="168"/>
  <c r="N82" i="168"/>
  <c r="N83" i="168"/>
  <c r="N84" i="168"/>
  <c r="N85" i="168"/>
  <c r="N86" i="168"/>
  <c r="N87" i="168"/>
  <c r="N88" i="168"/>
  <c r="N23" i="168"/>
  <c r="N24" i="168"/>
  <c r="N25" i="168"/>
  <c r="N26" i="168"/>
  <c r="N27" i="168"/>
  <c r="N28" i="168"/>
  <c r="N29" i="168"/>
  <c r="N30" i="168"/>
  <c r="N31" i="168"/>
  <c r="N32" i="168"/>
  <c r="N33" i="168"/>
  <c r="N34" i="168"/>
  <c r="N35" i="168"/>
  <c r="N36" i="168"/>
  <c r="N37" i="168"/>
  <c r="N38" i="168"/>
  <c r="N39" i="168"/>
  <c r="N40" i="168"/>
  <c r="N41" i="168"/>
  <c r="N42" i="168"/>
  <c r="N43" i="168"/>
  <c r="N44" i="168"/>
  <c r="N45" i="168"/>
  <c r="N46" i="168"/>
  <c r="N47" i="168"/>
  <c r="N48" i="168"/>
  <c r="N49" i="168"/>
  <c r="N50" i="168"/>
  <c r="N51" i="168"/>
  <c r="N97" i="162"/>
  <c r="N98" i="162"/>
  <c r="N99" i="162"/>
  <c r="N100" i="162"/>
  <c r="N101" i="162"/>
  <c r="N102" i="162"/>
  <c r="N103" i="162"/>
  <c r="N104" i="162"/>
  <c r="N105" i="162"/>
  <c r="N106" i="162"/>
  <c r="N107" i="162"/>
  <c r="N108" i="162"/>
  <c r="N109" i="162"/>
  <c r="N110" i="162"/>
  <c r="N111" i="162"/>
  <c r="N112" i="162"/>
  <c r="N113" i="162"/>
  <c r="N114" i="162"/>
  <c r="N115" i="162"/>
  <c r="N116" i="162"/>
  <c r="N117" i="162"/>
  <c r="N118" i="162"/>
  <c r="N119" i="162"/>
  <c r="N120" i="162"/>
  <c r="N121" i="162"/>
  <c r="N122" i="162"/>
  <c r="N123" i="162"/>
  <c r="N124" i="162"/>
  <c r="N125" i="162"/>
  <c r="N60" i="162"/>
  <c r="N61" i="162"/>
  <c r="N62" i="162"/>
  <c r="N63" i="162"/>
  <c r="N64" i="162"/>
  <c r="N65" i="162"/>
  <c r="N66" i="162"/>
  <c r="N67" i="162"/>
  <c r="N68" i="162"/>
  <c r="N69" i="162"/>
  <c r="N70" i="162"/>
  <c r="N71" i="162"/>
  <c r="N72" i="162"/>
  <c r="N73" i="162"/>
  <c r="N74" i="162"/>
  <c r="N75" i="162"/>
  <c r="N76" i="162"/>
  <c r="N77" i="162"/>
  <c r="N78" i="162"/>
  <c r="N79" i="162"/>
  <c r="N80" i="162"/>
  <c r="N81" i="162"/>
  <c r="N82" i="162"/>
  <c r="N83" i="162"/>
  <c r="N84" i="162"/>
  <c r="N85" i="162"/>
  <c r="N86" i="162"/>
  <c r="N87" i="162"/>
  <c r="N88" i="162"/>
  <c r="N23" i="162"/>
  <c r="N24" i="162"/>
  <c r="N25" i="162"/>
  <c r="N26" i="162"/>
  <c r="N27" i="162"/>
  <c r="N28" i="162"/>
  <c r="N29" i="162"/>
  <c r="N30" i="162"/>
  <c r="N31" i="162"/>
  <c r="N32" i="162"/>
  <c r="N33" i="162"/>
  <c r="N34" i="162"/>
  <c r="N35" i="162"/>
  <c r="N36" i="162"/>
  <c r="N37" i="162"/>
  <c r="N38" i="162"/>
  <c r="N39" i="162"/>
  <c r="N40" i="162"/>
  <c r="N41" i="162"/>
  <c r="N42" i="162"/>
  <c r="N43" i="162"/>
  <c r="N44" i="162"/>
  <c r="N45" i="162"/>
  <c r="N46" i="162"/>
  <c r="N47" i="162"/>
  <c r="N48" i="162"/>
  <c r="N49" i="162"/>
  <c r="N50" i="162"/>
  <c r="N51" i="162"/>
  <c r="N97" i="161"/>
  <c r="N98" i="161"/>
  <c r="N99" i="161"/>
  <c r="N100" i="161"/>
  <c r="N101" i="161"/>
  <c r="N102" i="161"/>
  <c r="N103" i="161"/>
  <c r="N104" i="161"/>
  <c r="N105" i="161"/>
  <c r="N106" i="161"/>
  <c r="N107" i="161"/>
  <c r="N108" i="161"/>
  <c r="N109" i="161"/>
  <c r="N110" i="161"/>
  <c r="N111" i="161"/>
  <c r="N112" i="161"/>
  <c r="N113" i="161"/>
  <c r="N114" i="161"/>
  <c r="N115" i="161"/>
  <c r="N116" i="161"/>
  <c r="N117" i="161"/>
  <c r="N118" i="161"/>
  <c r="N119" i="161"/>
  <c r="N120" i="161"/>
  <c r="N121" i="161"/>
  <c r="N122" i="161"/>
  <c r="N123" i="161"/>
  <c r="N124" i="161"/>
  <c r="N125" i="161"/>
  <c r="N60" i="161"/>
  <c r="N61" i="161"/>
  <c r="N62" i="161"/>
  <c r="N63" i="161"/>
  <c r="N64" i="161"/>
  <c r="N65" i="161"/>
  <c r="N66" i="161"/>
  <c r="N67" i="161"/>
  <c r="N68" i="161"/>
  <c r="N69" i="161"/>
  <c r="N70" i="161"/>
  <c r="N71" i="161"/>
  <c r="N72" i="161"/>
  <c r="N73" i="161"/>
  <c r="N74" i="161"/>
  <c r="N75" i="161"/>
  <c r="N76" i="161"/>
  <c r="N77" i="161"/>
  <c r="N78" i="161"/>
  <c r="N79" i="161"/>
  <c r="N80" i="161"/>
  <c r="N81" i="161"/>
  <c r="N82" i="161"/>
  <c r="N83" i="161"/>
  <c r="N84" i="161"/>
  <c r="N85" i="161"/>
  <c r="N86" i="161"/>
  <c r="N87" i="161"/>
  <c r="N88" i="161"/>
  <c r="N23" i="161"/>
  <c r="N24" i="161"/>
  <c r="N25" i="161"/>
  <c r="N26" i="161"/>
  <c r="N27" i="161"/>
  <c r="N28" i="161"/>
  <c r="N29" i="161"/>
  <c r="N30" i="161"/>
  <c r="N31" i="161"/>
  <c r="N32" i="161"/>
  <c r="N33" i="161"/>
  <c r="N34" i="161"/>
  <c r="N35" i="161"/>
  <c r="N36" i="161"/>
  <c r="N37" i="161"/>
  <c r="N38" i="161"/>
  <c r="N39" i="161"/>
  <c r="N40" i="161"/>
  <c r="N41" i="161"/>
  <c r="N42" i="161"/>
  <c r="N43" i="161"/>
  <c r="N44" i="161"/>
  <c r="N45" i="161"/>
  <c r="N46" i="161"/>
  <c r="N47" i="161"/>
  <c r="N48" i="161"/>
  <c r="N49" i="161"/>
  <c r="N50" i="161"/>
  <c r="N51" i="161"/>
  <c r="N97" i="153"/>
  <c r="N98" i="153"/>
  <c r="N99" i="153"/>
  <c r="N100" i="153"/>
  <c r="N101" i="153"/>
  <c r="N102" i="153"/>
  <c r="N103" i="153"/>
  <c r="N104" i="153"/>
  <c r="N105" i="153"/>
  <c r="N106" i="153"/>
  <c r="N107" i="153"/>
  <c r="N108" i="153"/>
  <c r="N109" i="153"/>
  <c r="N110" i="153"/>
  <c r="N111" i="153"/>
  <c r="N112" i="153"/>
  <c r="N113" i="153"/>
  <c r="N114" i="153"/>
  <c r="N115" i="153"/>
  <c r="N116" i="153"/>
  <c r="N117" i="153"/>
  <c r="N118" i="153"/>
  <c r="N119" i="153"/>
  <c r="N120" i="153"/>
  <c r="N121" i="153"/>
  <c r="N122" i="153"/>
  <c r="N123" i="153"/>
  <c r="N124" i="153"/>
  <c r="N125" i="153"/>
  <c r="N60" i="153"/>
  <c r="N61" i="153"/>
  <c r="N62" i="153"/>
  <c r="N63" i="153"/>
  <c r="N64" i="153"/>
  <c r="N65" i="153"/>
  <c r="N66" i="153"/>
  <c r="N67" i="153"/>
  <c r="N68" i="153"/>
  <c r="N69" i="153"/>
  <c r="N70" i="153"/>
  <c r="N71" i="153"/>
  <c r="N72" i="153"/>
  <c r="N73" i="153"/>
  <c r="N74" i="153"/>
  <c r="N75" i="153"/>
  <c r="N76" i="153"/>
  <c r="N77" i="153"/>
  <c r="N78" i="153"/>
  <c r="N79" i="153"/>
  <c r="N80" i="153"/>
  <c r="N81" i="153"/>
  <c r="N82" i="153"/>
  <c r="N83" i="153"/>
  <c r="N84" i="153"/>
  <c r="N85" i="153"/>
  <c r="N86" i="153"/>
  <c r="N87" i="153"/>
  <c r="N88" i="153"/>
  <c r="N23" i="153"/>
  <c r="N24" i="153"/>
  <c r="N25" i="153"/>
  <c r="N26" i="153"/>
  <c r="N27" i="153"/>
  <c r="N28" i="153"/>
  <c r="N29" i="153"/>
  <c r="N30" i="153"/>
  <c r="N31" i="153"/>
  <c r="N32" i="153"/>
  <c r="N33" i="153"/>
  <c r="N34" i="153"/>
  <c r="N35" i="153"/>
  <c r="N36" i="153"/>
  <c r="N37" i="153"/>
  <c r="N38" i="153"/>
  <c r="N39" i="153"/>
  <c r="N40" i="153"/>
  <c r="N41" i="153"/>
  <c r="N42" i="153"/>
  <c r="N43" i="153"/>
  <c r="N44" i="153"/>
  <c r="N45" i="153"/>
  <c r="N46" i="153"/>
  <c r="N47" i="153"/>
  <c r="N48" i="153"/>
  <c r="N49" i="153"/>
  <c r="N50" i="153"/>
  <c r="N51" i="153"/>
  <c r="N97" i="152"/>
  <c r="N98" i="152"/>
  <c r="N99" i="152"/>
  <c r="N100" i="152"/>
  <c r="N101" i="152"/>
  <c r="N102" i="152"/>
  <c r="N103" i="152"/>
  <c r="N104" i="152"/>
  <c r="N105" i="152"/>
  <c r="N106" i="152"/>
  <c r="N107" i="152"/>
  <c r="N108" i="152"/>
  <c r="N109" i="152"/>
  <c r="N110" i="152"/>
  <c r="N111" i="152"/>
  <c r="N112" i="152"/>
  <c r="N113" i="152"/>
  <c r="N114" i="152"/>
  <c r="N115" i="152"/>
  <c r="N116" i="152"/>
  <c r="N117" i="152"/>
  <c r="N118" i="152"/>
  <c r="N119" i="152"/>
  <c r="N120" i="152"/>
  <c r="N121" i="152"/>
  <c r="N122" i="152"/>
  <c r="N123" i="152"/>
  <c r="N124" i="152"/>
  <c r="N125" i="152"/>
  <c r="N97" i="151"/>
  <c r="N98" i="151"/>
  <c r="N99" i="151"/>
  <c r="N100" i="151"/>
  <c r="N101" i="151"/>
  <c r="N102" i="151"/>
  <c r="N103" i="151"/>
  <c r="N104" i="151"/>
  <c r="N105" i="151"/>
  <c r="N106" i="151"/>
  <c r="N107" i="151"/>
  <c r="N108" i="151"/>
  <c r="N109" i="151"/>
  <c r="N110" i="151"/>
  <c r="N111" i="151"/>
  <c r="N112" i="151"/>
  <c r="N113" i="151"/>
  <c r="N114" i="151"/>
  <c r="N115" i="151"/>
  <c r="N116" i="151"/>
  <c r="N117" i="151"/>
  <c r="N118" i="151"/>
  <c r="N119" i="151"/>
  <c r="N120" i="151"/>
  <c r="N121" i="151"/>
  <c r="N122" i="151"/>
  <c r="N123" i="151"/>
  <c r="N124" i="151"/>
  <c r="N125" i="151"/>
  <c r="N60" i="151"/>
  <c r="N61" i="151"/>
  <c r="N62" i="151"/>
  <c r="N63" i="151"/>
  <c r="N64" i="151"/>
  <c r="N65" i="151"/>
  <c r="N66" i="151"/>
  <c r="N67" i="151"/>
  <c r="N68" i="151"/>
  <c r="N69" i="151"/>
  <c r="N70" i="151"/>
  <c r="N71" i="151"/>
  <c r="N72" i="151"/>
  <c r="N73" i="151"/>
  <c r="N74" i="151"/>
  <c r="N75" i="151"/>
  <c r="N76" i="151"/>
  <c r="N77" i="151"/>
  <c r="N78" i="151"/>
  <c r="N79" i="151"/>
  <c r="N80" i="151"/>
  <c r="N81" i="151"/>
  <c r="N82" i="151"/>
  <c r="N83" i="151"/>
  <c r="N84" i="151"/>
  <c r="N85" i="151"/>
  <c r="N86" i="151"/>
  <c r="N87" i="151"/>
  <c r="N88" i="151"/>
  <c r="N60" i="150"/>
  <c r="N61" i="150"/>
  <c r="N62" i="150"/>
  <c r="N63" i="150"/>
  <c r="N64" i="150"/>
  <c r="N65" i="150"/>
  <c r="N66" i="150"/>
  <c r="N67" i="150"/>
  <c r="N68" i="150"/>
  <c r="N69" i="150"/>
  <c r="N70" i="150"/>
  <c r="N71" i="150"/>
  <c r="N72" i="150"/>
  <c r="N73" i="150"/>
  <c r="N74" i="150"/>
  <c r="N75" i="150"/>
  <c r="N76" i="150"/>
  <c r="N77" i="150"/>
  <c r="N78" i="150"/>
  <c r="N79" i="150"/>
  <c r="N80" i="150"/>
  <c r="N81" i="150"/>
  <c r="N82" i="150"/>
  <c r="N83" i="150"/>
  <c r="N84" i="150"/>
  <c r="N85" i="150"/>
  <c r="N86" i="150"/>
  <c r="N87" i="150"/>
  <c r="N88" i="150"/>
  <c r="N97" i="53"/>
  <c r="N98" i="53"/>
  <c r="N99" i="53"/>
  <c r="N100" i="53"/>
  <c r="N101" i="53"/>
  <c r="N102" i="53"/>
  <c r="N103" i="53"/>
  <c r="N104" i="53"/>
  <c r="N105" i="53"/>
  <c r="N106" i="53"/>
  <c r="N107" i="53"/>
  <c r="N108" i="53"/>
  <c r="N109" i="53"/>
  <c r="N110" i="53"/>
  <c r="N111" i="53"/>
  <c r="N112" i="53"/>
  <c r="N113" i="53"/>
  <c r="N114" i="53"/>
  <c r="N115" i="53"/>
  <c r="N116" i="53"/>
  <c r="N117" i="53"/>
  <c r="N118" i="53"/>
  <c r="N119" i="53"/>
  <c r="N120" i="53"/>
  <c r="N121" i="53"/>
  <c r="N122" i="53"/>
  <c r="N123" i="53"/>
  <c r="N124" i="53"/>
  <c r="N125" i="53"/>
  <c r="N60" i="53"/>
  <c r="N61" i="53"/>
  <c r="N62" i="53"/>
  <c r="N63" i="53"/>
  <c r="N64" i="53"/>
  <c r="N65" i="53"/>
  <c r="N66" i="53"/>
  <c r="N67" i="53"/>
  <c r="N68" i="53"/>
  <c r="N69" i="53"/>
  <c r="N70" i="53"/>
  <c r="N71" i="53"/>
  <c r="N72" i="53"/>
  <c r="N73" i="53"/>
  <c r="N74" i="53"/>
  <c r="N75" i="53"/>
  <c r="N76" i="53"/>
  <c r="N77" i="53"/>
  <c r="N78" i="53"/>
  <c r="N79" i="53"/>
  <c r="N80" i="53"/>
  <c r="N81" i="53"/>
  <c r="N82" i="53"/>
  <c r="N83" i="53"/>
  <c r="N84" i="53"/>
  <c r="N85" i="53"/>
  <c r="N86" i="53"/>
  <c r="N87" i="53"/>
  <c r="N88" i="53"/>
  <c r="N32" i="152"/>
  <c r="N33" i="152"/>
  <c r="N34" i="152"/>
  <c r="N35" i="152"/>
  <c r="N36" i="152"/>
  <c r="N37" i="152"/>
  <c r="N38" i="152"/>
  <c r="N39" i="152"/>
  <c r="N40" i="152"/>
  <c r="N41" i="152"/>
  <c r="N42" i="152"/>
  <c r="N43" i="152"/>
  <c r="N44" i="152"/>
  <c r="N45" i="152"/>
  <c r="N46" i="152"/>
  <c r="N47" i="152"/>
  <c r="N48" i="152"/>
  <c r="N49" i="152"/>
  <c r="N50" i="152"/>
  <c r="N51" i="152"/>
  <c r="N40" i="151"/>
  <c r="N41" i="151"/>
  <c r="N42" i="151"/>
  <c r="N43" i="151"/>
  <c r="N44" i="151"/>
  <c r="N45" i="151"/>
  <c r="N46" i="151"/>
  <c r="N47" i="151"/>
  <c r="N48" i="151"/>
  <c r="N49" i="151"/>
  <c r="N50" i="151"/>
  <c r="N51" i="151"/>
  <c r="N32" i="151"/>
  <c r="N33" i="151"/>
  <c r="N34" i="151"/>
  <c r="N35" i="151"/>
  <c r="N36" i="151"/>
  <c r="N37" i="151"/>
  <c r="N38" i="151"/>
  <c r="N39" i="151"/>
  <c r="N32" i="150"/>
  <c r="N33" i="150"/>
  <c r="N34" i="150"/>
  <c r="N35" i="150"/>
  <c r="N36" i="150"/>
  <c r="N37" i="150"/>
  <c r="N38" i="150"/>
  <c r="N39" i="150"/>
  <c r="N40" i="150"/>
  <c r="N41" i="150"/>
  <c r="N42" i="150"/>
  <c r="N43" i="150"/>
  <c r="N44" i="150"/>
  <c r="N45" i="150"/>
  <c r="N46" i="150"/>
  <c r="N47" i="150"/>
  <c r="N48" i="150"/>
  <c r="N49" i="150"/>
  <c r="N50" i="150"/>
  <c r="N51" i="150"/>
  <c r="N32" i="53"/>
  <c r="N33" i="53"/>
  <c r="N34" i="53"/>
  <c r="N35" i="53"/>
  <c r="N36" i="53"/>
  <c r="N37" i="53"/>
  <c r="N38" i="53"/>
  <c r="N39" i="53"/>
  <c r="N40" i="53"/>
  <c r="N41" i="53"/>
  <c r="N42" i="53"/>
  <c r="N43" i="53"/>
  <c r="N44" i="53"/>
  <c r="N45" i="53"/>
  <c r="N46" i="53"/>
  <c r="N47" i="53"/>
  <c r="N48" i="53"/>
  <c r="N49" i="53"/>
  <c r="N50" i="53"/>
  <c r="N51" i="53"/>
  <c r="B3" i="68"/>
  <c r="O129" i="179"/>
  <c r="O128" i="179"/>
  <c r="O127" i="179"/>
  <c r="O126" i="179"/>
  <c r="N96" i="179"/>
  <c r="D70" i="179"/>
  <c r="O59" i="179"/>
  <c r="N59" i="179"/>
  <c r="D34" i="179"/>
  <c r="X31" i="179" a="1"/>
  <c r="X31" i="179" s="1"/>
  <c r="X28" i="179"/>
  <c r="X27" i="179"/>
  <c r="X26" i="179"/>
  <c r="X25" i="179"/>
  <c r="X24" i="179"/>
  <c r="X23" i="179"/>
  <c r="X22" i="179"/>
  <c r="O22" i="179"/>
  <c r="N22" i="179"/>
  <c r="X21" i="179"/>
  <c r="X20" i="179"/>
  <c r="X19" i="179"/>
  <c r="X18" i="179"/>
  <c r="X17" i="179"/>
  <c r="X16" i="179"/>
  <c r="X15" i="179"/>
  <c r="X14" i="179"/>
  <c r="X13" i="179"/>
  <c r="X12" i="179"/>
  <c r="X11" i="179"/>
  <c r="X10" i="179"/>
  <c r="O129" i="178"/>
  <c r="O128" i="178"/>
  <c r="O127" i="178"/>
  <c r="O126" i="178"/>
  <c r="N96" i="178"/>
  <c r="D70" i="178"/>
  <c r="O59" i="178"/>
  <c r="N59" i="178"/>
  <c r="D34" i="178"/>
  <c r="X31" i="178" a="1"/>
  <c r="X31" i="178" s="1"/>
  <c r="X28" i="178"/>
  <c r="X27" i="178"/>
  <c r="X26" i="178"/>
  <c r="X25" i="178"/>
  <c r="X24" i="178"/>
  <c r="X23" i="178"/>
  <c r="X22" i="178"/>
  <c r="O22" i="178"/>
  <c r="N22" i="178"/>
  <c r="X21" i="178"/>
  <c r="X20" i="178"/>
  <c r="X19" i="178"/>
  <c r="X18" i="178"/>
  <c r="X17" i="178"/>
  <c r="X16" i="178"/>
  <c r="X15" i="178"/>
  <c r="X14" i="178"/>
  <c r="X13" i="178"/>
  <c r="X12" i="178"/>
  <c r="X11" i="178"/>
  <c r="X10" i="178"/>
  <c r="O129" i="177"/>
  <c r="O128" i="177"/>
  <c r="O127" i="177"/>
  <c r="O126" i="177"/>
  <c r="N96" i="177"/>
  <c r="D70" i="177"/>
  <c r="O59" i="177"/>
  <c r="N59" i="177"/>
  <c r="D34" i="177"/>
  <c r="X31" i="177" a="1"/>
  <c r="X31" i="177" s="1"/>
  <c r="X28" i="177"/>
  <c r="X27" i="177"/>
  <c r="X26" i="177"/>
  <c r="X25" i="177"/>
  <c r="X24" i="177"/>
  <c r="X23" i="177"/>
  <c r="X22" i="177"/>
  <c r="O22" i="177"/>
  <c r="N22" i="177"/>
  <c r="X21" i="177"/>
  <c r="X20" i="177"/>
  <c r="X19" i="177"/>
  <c r="X18" i="177"/>
  <c r="X17" i="177"/>
  <c r="X16" i="177"/>
  <c r="X15" i="177"/>
  <c r="X14" i="177"/>
  <c r="X13" i="177"/>
  <c r="X12" i="177"/>
  <c r="X11" i="177"/>
  <c r="X10" i="177"/>
  <c r="O129" i="176"/>
  <c r="O128" i="176"/>
  <c r="O127" i="176"/>
  <c r="O126" i="176"/>
  <c r="N96" i="176"/>
  <c r="D70" i="176"/>
  <c r="O59" i="176"/>
  <c r="N59" i="176"/>
  <c r="D34" i="176"/>
  <c r="X31" i="176" a="1"/>
  <c r="X31" i="176" s="1"/>
  <c r="X28" i="176"/>
  <c r="X27" i="176"/>
  <c r="X26" i="176"/>
  <c r="X25" i="176"/>
  <c r="X24" i="176"/>
  <c r="X23" i="176"/>
  <c r="X22" i="176"/>
  <c r="O22" i="176"/>
  <c r="N22" i="176"/>
  <c r="X21" i="176"/>
  <c r="X20" i="176"/>
  <c r="X19" i="176"/>
  <c r="X18" i="176"/>
  <c r="X17" i="176"/>
  <c r="X16" i="176"/>
  <c r="X15" i="176"/>
  <c r="X14" i="176"/>
  <c r="X13" i="176"/>
  <c r="X12" i="176"/>
  <c r="X11" i="176"/>
  <c r="X10" i="176"/>
  <c r="O129" i="175"/>
  <c r="O128" i="175"/>
  <c r="O127" i="175"/>
  <c r="O126" i="175"/>
  <c r="N96" i="175"/>
  <c r="D70" i="175"/>
  <c r="O59" i="175"/>
  <c r="N59" i="175"/>
  <c r="D34" i="175"/>
  <c r="X31" i="175" a="1"/>
  <c r="X31" i="175" s="1"/>
  <c r="X28" i="175"/>
  <c r="X27" i="175"/>
  <c r="X26" i="175"/>
  <c r="X25" i="175"/>
  <c r="X24" i="175"/>
  <c r="X23" i="175"/>
  <c r="X22" i="175"/>
  <c r="O22" i="175"/>
  <c r="N22" i="175"/>
  <c r="X21" i="175"/>
  <c r="X20" i="175"/>
  <c r="X19" i="175"/>
  <c r="X18" i="175"/>
  <c r="X17" i="175"/>
  <c r="X16" i="175"/>
  <c r="X15" i="175"/>
  <c r="X14" i="175"/>
  <c r="X13" i="175"/>
  <c r="X12" i="175"/>
  <c r="X11" i="175"/>
  <c r="X10" i="175"/>
  <c r="O129" i="174"/>
  <c r="O128" i="174"/>
  <c r="O127" i="174"/>
  <c r="O126" i="174"/>
  <c r="N96" i="174"/>
  <c r="D70" i="174"/>
  <c r="O59" i="174"/>
  <c r="N59" i="174"/>
  <c r="D34" i="174"/>
  <c r="X31" i="174" a="1"/>
  <c r="X31" i="174" s="1"/>
  <c r="X28" i="174"/>
  <c r="X27" i="174"/>
  <c r="X26" i="174"/>
  <c r="X25" i="174"/>
  <c r="X24" i="174"/>
  <c r="X23" i="174"/>
  <c r="X22" i="174"/>
  <c r="O22" i="174"/>
  <c r="N22" i="174"/>
  <c r="X21" i="174"/>
  <c r="X20" i="174"/>
  <c r="X19" i="174"/>
  <c r="X18" i="174"/>
  <c r="X17" i="174"/>
  <c r="X16" i="174"/>
  <c r="X15" i="174"/>
  <c r="X14" i="174"/>
  <c r="X13" i="174"/>
  <c r="X12" i="174"/>
  <c r="X11" i="174"/>
  <c r="X10" i="174"/>
  <c r="O129" i="173"/>
  <c r="O128" i="173"/>
  <c r="O127" i="173"/>
  <c r="O126" i="173"/>
  <c r="N96" i="173"/>
  <c r="D70" i="173"/>
  <c r="O59" i="173"/>
  <c r="N59" i="173"/>
  <c r="D34" i="173"/>
  <c r="X31" i="173" a="1"/>
  <c r="X31" i="173" s="1"/>
  <c r="X28" i="173"/>
  <c r="X27" i="173"/>
  <c r="X26" i="173"/>
  <c r="X25" i="173"/>
  <c r="X24" i="173"/>
  <c r="X23" i="173"/>
  <c r="X22" i="173"/>
  <c r="O22" i="173"/>
  <c r="N22" i="173"/>
  <c r="X21" i="173"/>
  <c r="X20" i="173"/>
  <c r="X19" i="173"/>
  <c r="X18" i="173"/>
  <c r="X17" i="173"/>
  <c r="X16" i="173"/>
  <c r="X15" i="173"/>
  <c r="X14" i="173"/>
  <c r="X13" i="173"/>
  <c r="X12" i="173"/>
  <c r="X11" i="173"/>
  <c r="X10" i="173"/>
  <c r="O129" i="172"/>
  <c r="O128" i="172"/>
  <c r="O127" i="172"/>
  <c r="O126" i="172"/>
  <c r="N96" i="172"/>
  <c r="D70" i="172"/>
  <c r="O59" i="172"/>
  <c r="N59" i="172"/>
  <c r="D34" i="172"/>
  <c r="X31" i="172" a="1"/>
  <c r="X31" i="172" s="1"/>
  <c r="X28" i="172"/>
  <c r="X27" i="172"/>
  <c r="X26" i="172"/>
  <c r="X25" i="172"/>
  <c r="X24" i="172"/>
  <c r="X23" i="172"/>
  <c r="X22" i="172"/>
  <c r="O22" i="172"/>
  <c r="N22" i="172"/>
  <c r="X21" i="172"/>
  <c r="X20" i="172"/>
  <c r="X19" i="172"/>
  <c r="X18" i="172"/>
  <c r="X17" i="172"/>
  <c r="X16" i="172"/>
  <c r="X15" i="172"/>
  <c r="X14" i="172"/>
  <c r="X13" i="172"/>
  <c r="X12" i="172"/>
  <c r="X11" i="172"/>
  <c r="X10" i="172"/>
  <c r="O129" i="171"/>
  <c r="O128" i="171"/>
  <c r="O127" i="171"/>
  <c r="O126" i="171"/>
  <c r="N96" i="171"/>
  <c r="D70" i="171"/>
  <c r="N59" i="171"/>
  <c r="D34" i="171"/>
  <c r="X31" i="171" a="1"/>
  <c r="X31" i="171" s="1"/>
  <c r="X28" i="171"/>
  <c r="X27" i="171"/>
  <c r="X26" i="171"/>
  <c r="X25" i="171"/>
  <c r="X24" i="171"/>
  <c r="X23" i="171"/>
  <c r="X22" i="171"/>
  <c r="O22" i="171"/>
  <c r="N22" i="171"/>
  <c r="X21" i="171"/>
  <c r="X20" i="171"/>
  <c r="X19" i="171"/>
  <c r="X18" i="171"/>
  <c r="X17" i="171"/>
  <c r="X16" i="171"/>
  <c r="X15" i="171"/>
  <c r="X14" i="171"/>
  <c r="X13" i="171"/>
  <c r="X12" i="171"/>
  <c r="X11" i="171"/>
  <c r="X10" i="171"/>
  <c r="O129" i="170"/>
  <c r="O128" i="170"/>
  <c r="O127" i="170"/>
  <c r="O126" i="170"/>
  <c r="N96" i="170"/>
  <c r="D70" i="170"/>
  <c r="O59" i="170"/>
  <c r="N59" i="170"/>
  <c r="D34" i="170"/>
  <c r="X31" i="170" a="1"/>
  <c r="X31" i="170" s="1"/>
  <c r="X28" i="170"/>
  <c r="X27" i="170"/>
  <c r="X26" i="170"/>
  <c r="X25" i="170"/>
  <c r="X24" i="170"/>
  <c r="X23" i="170"/>
  <c r="X22" i="170"/>
  <c r="O22" i="170"/>
  <c r="N22" i="170"/>
  <c r="X21" i="170"/>
  <c r="X20" i="170"/>
  <c r="X19" i="170"/>
  <c r="X18" i="170"/>
  <c r="X17" i="170"/>
  <c r="X16" i="170"/>
  <c r="X15" i="170"/>
  <c r="X14" i="170"/>
  <c r="X13" i="170"/>
  <c r="X12" i="170"/>
  <c r="X11" i="170"/>
  <c r="X10" i="170"/>
  <c r="O129" i="169"/>
  <c r="O128" i="169"/>
  <c r="O127" i="169"/>
  <c r="O126" i="169"/>
  <c r="N96" i="169"/>
  <c r="D70" i="169"/>
  <c r="O59" i="169"/>
  <c r="N59" i="169"/>
  <c r="D34" i="169"/>
  <c r="X31" i="169" a="1"/>
  <c r="X31" i="169" s="1"/>
  <c r="X28" i="169"/>
  <c r="X27" i="169"/>
  <c r="X26" i="169"/>
  <c r="X25" i="169"/>
  <c r="X24" i="169"/>
  <c r="X23" i="169"/>
  <c r="X22" i="169"/>
  <c r="O22" i="169"/>
  <c r="N22" i="169"/>
  <c r="X21" i="169"/>
  <c r="X20" i="169"/>
  <c r="X19" i="169"/>
  <c r="X18" i="169"/>
  <c r="X17" i="169"/>
  <c r="X16" i="169"/>
  <c r="X15" i="169"/>
  <c r="X14" i="169"/>
  <c r="X13" i="169"/>
  <c r="X12" i="169"/>
  <c r="X11" i="169"/>
  <c r="X10" i="169"/>
  <c r="O129" i="168"/>
  <c r="O128" i="168"/>
  <c r="O127" i="168"/>
  <c r="O126" i="168"/>
  <c r="N96" i="168"/>
  <c r="D70" i="168"/>
  <c r="O59" i="168"/>
  <c r="N59" i="168"/>
  <c r="D34" i="168"/>
  <c r="X31" i="168" a="1"/>
  <c r="X31" i="168" s="1"/>
  <c r="X28" i="168"/>
  <c r="X27" i="168"/>
  <c r="X26" i="168"/>
  <c r="X25" i="168"/>
  <c r="X24" i="168"/>
  <c r="X23" i="168"/>
  <c r="X22" i="168"/>
  <c r="O22" i="168"/>
  <c r="N22" i="168"/>
  <c r="X21" i="168"/>
  <c r="X20" i="168"/>
  <c r="X19" i="168"/>
  <c r="X18" i="168"/>
  <c r="X17" i="168"/>
  <c r="X16" i="168"/>
  <c r="X15" i="168"/>
  <c r="X14" i="168"/>
  <c r="X13" i="168"/>
  <c r="X12" i="168"/>
  <c r="X11" i="168"/>
  <c r="X10" i="168"/>
  <c r="O129" i="166"/>
  <c r="O128" i="166"/>
  <c r="O127" i="166"/>
  <c r="O126" i="166"/>
  <c r="N96" i="166"/>
  <c r="D70" i="166"/>
  <c r="O59" i="166"/>
  <c r="N59" i="166"/>
  <c r="D34" i="166"/>
  <c r="X31" i="166" a="1"/>
  <c r="X31" i="166" s="1"/>
  <c r="X28" i="166"/>
  <c r="X27" i="166"/>
  <c r="X26" i="166"/>
  <c r="X25" i="166"/>
  <c r="X24" i="166"/>
  <c r="X23" i="166"/>
  <c r="X22" i="166"/>
  <c r="O22" i="166"/>
  <c r="N22" i="166"/>
  <c r="X21" i="166"/>
  <c r="X20" i="166"/>
  <c r="X19" i="166"/>
  <c r="X18" i="166"/>
  <c r="X17" i="166"/>
  <c r="X16" i="166"/>
  <c r="X15" i="166"/>
  <c r="X14" i="166"/>
  <c r="X13" i="166"/>
  <c r="X12" i="166"/>
  <c r="X11" i="166"/>
  <c r="X10" i="166"/>
  <c r="O129" i="165"/>
  <c r="O128" i="165"/>
  <c r="O127" i="165"/>
  <c r="O126" i="165"/>
  <c r="N96" i="165"/>
  <c r="D70" i="165"/>
  <c r="O59" i="165"/>
  <c r="N59" i="165"/>
  <c r="D34" i="165"/>
  <c r="X31" i="165" a="1"/>
  <c r="X31" i="165" s="1"/>
  <c r="X28" i="165"/>
  <c r="X27" i="165"/>
  <c r="X26" i="165"/>
  <c r="X25" i="165"/>
  <c r="X24" i="165"/>
  <c r="X23" i="165"/>
  <c r="X22" i="165"/>
  <c r="O22" i="165"/>
  <c r="N22" i="165"/>
  <c r="X21" i="165"/>
  <c r="X20" i="165"/>
  <c r="X19" i="165"/>
  <c r="X18" i="165"/>
  <c r="X17" i="165"/>
  <c r="X16" i="165"/>
  <c r="X15" i="165"/>
  <c r="X14" i="165"/>
  <c r="X13" i="165"/>
  <c r="X12" i="165"/>
  <c r="X11" i="165"/>
  <c r="X10" i="165"/>
  <c r="O129" i="164"/>
  <c r="O128" i="164"/>
  <c r="O127" i="164"/>
  <c r="O126" i="164"/>
  <c r="N96" i="164"/>
  <c r="D70" i="164"/>
  <c r="O59" i="164"/>
  <c r="N59" i="164"/>
  <c r="D34" i="164"/>
  <c r="X31" i="164" a="1"/>
  <c r="X31" i="164" s="1"/>
  <c r="X28" i="164"/>
  <c r="X27" i="164"/>
  <c r="X26" i="164"/>
  <c r="X25" i="164"/>
  <c r="X24" i="164"/>
  <c r="X23" i="164"/>
  <c r="X22" i="164"/>
  <c r="O22" i="164"/>
  <c r="N22" i="164"/>
  <c r="X21" i="164"/>
  <c r="X20" i="164"/>
  <c r="X19" i="164"/>
  <c r="X18" i="164"/>
  <c r="X17" i="164"/>
  <c r="X16" i="164"/>
  <c r="X15" i="164"/>
  <c r="X14" i="164"/>
  <c r="X13" i="164"/>
  <c r="X12" i="164"/>
  <c r="X11" i="164"/>
  <c r="X10" i="164"/>
  <c r="O129" i="163"/>
  <c r="O128" i="163"/>
  <c r="O127" i="163"/>
  <c r="O126" i="163"/>
  <c r="N96" i="163"/>
  <c r="D70" i="163"/>
  <c r="O59" i="163"/>
  <c r="N59" i="163"/>
  <c r="D34" i="163"/>
  <c r="X31" i="163" a="1"/>
  <c r="X31" i="163" s="1"/>
  <c r="X28" i="163"/>
  <c r="X27" i="163"/>
  <c r="X26" i="163"/>
  <c r="X25" i="163"/>
  <c r="X24" i="163"/>
  <c r="X23" i="163"/>
  <c r="X22" i="163"/>
  <c r="O22" i="163"/>
  <c r="N22" i="163"/>
  <c r="X21" i="163"/>
  <c r="X20" i="163"/>
  <c r="X19" i="163"/>
  <c r="X18" i="163"/>
  <c r="X17" i="163"/>
  <c r="X16" i="163"/>
  <c r="X15" i="163"/>
  <c r="X14" i="163"/>
  <c r="X13" i="163"/>
  <c r="X12" i="163"/>
  <c r="X11" i="163"/>
  <c r="X10" i="163"/>
  <c r="O129" i="162"/>
  <c r="O128" i="162"/>
  <c r="O127" i="162"/>
  <c r="O126" i="162"/>
  <c r="N96" i="162"/>
  <c r="D70" i="162"/>
  <c r="O59" i="162"/>
  <c r="N59" i="162"/>
  <c r="D34" i="162"/>
  <c r="X31" i="162" a="1"/>
  <c r="X31" i="162" s="1"/>
  <c r="X28" i="162"/>
  <c r="X27" i="162"/>
  <c r="X26" i="162"/>
  <c r="X25" i="162"/>
  <c r="X24" i="162"/>
  <c r="X23" i="162"/>
  <c r="X22" i="162"/>
  <c r="O22" i="162"/>
  <c r="N22" i="162"/>
  <c r="X21" i="162"/>
  <c r="X20" i="162"/>
  <c r="X19" i="162"/>
  <c r="X18" i="162"/>
  <c r="X17" i="162"/>
  <c r="X16" i="162"/>
  <c r="X15" i="162"/>
  <c r="X14" i="162"/>
  <c r="X13" i="162"/>
  <c r="X12" i="162"/>
  <c r="X11" i="162"/>
  <c r="X10" i="162"/>
  <c r="O129" i="161"/>
  <c r="O128" i="161"/>
  <c r="O127" i="161"/>
  <c r="O126" i="161"/>
  <c r="N96" i="161"/>
  <c r="D70" i="161"/>
  <c r="O59" i="161"/>
  <c r="N59" i="161"/>
  <c r="D34" i="161"/>
  <c r="X31" i="161" a="1"/>
  <c r="X31" i="161" s="1"/>
  <c r="X28" i="161"/>
  <c r="X27" i="161"/>
  <c r="X26" i="161"/>
  <c r="X25" i="161"/>
  <c r="X24" i="161"/>
  <c r="X23" i="161"/>
  <c r="X22" i="161"/>
  <c r="O22" i="161"/>
  <c r="N22" i="161"/>
  <c r="X21" i="161"/>
  <c r="X20" i="161"/>
  <c r="X19" i="161"/>
  <c r="X18" i="161"/>
  <c r="X17" i="161"/>
  <c r="X16" i="161"/>
  <c r="X15" i="161"/>
  <c r="X14" i="161"/>
  <c r="X13" i="161"/>
  <c r="X12" i="161"/>
  <c r="X11" i="161"/>
  <c r="X10" i="161"/>
  <c r="O129" i="153"/>
  <c r="O128" i="153"/>
  <c r="O127" i="153"/>
  <c r="O126" i="153"/>
  <c r="N96" i="153"/>
  <c r="D70" i="153"/>
  <c r="O59" i="153"/>
  <c r="N59" i="153"/>
  <c r="D34" i="153"/>
  <c r="X31" i="153" a="1"/>
  <c r="X31" i="153" s="1"/>
  <c r="X28" i="153"/>
  <c r="X27" i="153"/>
  <c r="X26" i="153"/>
  <c r="X25" i="153"/>
  <c r="X24" i="153"/>
  <c r="X23" i="153"/>
  <c r="X22" i="153"/>
  <c r="O22" i="153"/>
  <c r="N22" i="153"/>
  <c r="X21" i="153"/>
  <c r="X20" i="153"/>
  <c r="X19" i="153"/>
  <c r="X18" i="153"/>
  <c r="X17" i="153"/>
  <c r="X16" i="153"/>
  <c r="X15" i="153"/>
  <c r="X14" i="153"/>
  <c r="X13" i="153"/>
  <c r="X12" i="153"/>
  <c r="X11" i="153"/>
  <c r="X10" i="153"/>
  <c r="O129" i="152"/>
  <c r="O128" i="152"/>
  <c r="O127" i="152"/>
  <c r="O126" i="152"/>
  <c r="N96" i="152"/>
  <c r="O88" i="152"/>
  <c r="N88" i="152"/>
  <c r="O87" i="152"/>
  <c r="N87" i="152"/>
  <c r="O86" i="152"/>
  <c r="N86" i="152"/>
  <c r="O85" i="152"/>
  <c r="N85" i="152"/>
  <c r="O84" i="152"/>
  <c r="N84" i="152"/>
  <c r="O83" i="152"/>
  <c r="N83" i="152"/>
  <c r="O82" i="152"/>
  <c r="N82" i="152"/>
  <c r="O81" i="152"/>
  <c r="N81" i="152"/>
  <c r="O80" i="152"/>
  <c r="N80" i="152"/>
  <c r="O79" i="152"/>
  <c r="N79" i="152"/>
  <c r="O78" i="152"/>
  <c r="N78" i="152"/>
  <c r="O77" i="152"/>
  <c r="N77" i="152"/>
  <c r="O76" i="152"/>
  <c r="N76" i="152"/>
  <c r="O75" i="152"/>
  <c r="N75" i="152"/>
  <c r="O74" i="152"/>
  <c r="N74" i="152"/>
  <c r="D70" i="152"/>
  <c r="O63" i="152"/>
  <c r="N63" i="152"/>
  <c r="O62" i="152"/>
  <c r="N62" i="152"/>
  <c r="O61" i="152"/>
  <c r="N61" i="152"/>
  <c r="O60" i="152"/>
  <c r="N60" i="152"/>
  <c r="O59" i="152"/>
  <c r="N59" i="152"/>
  <c r="O51" i="152"/>
  <c r="O50" i="152"/>
  <c r="O49" i="152"/>
  <c r="O48" i="152"/>
  <c r="O47" i="152"/>
  <c r="O46" i="152"/>
  <c r="O45" i="152"/>
  <c r="O44" i="152"/>
  <c r="O43" i="152"/>
  <c r="O42" i="152"/>
  <c r="O41" i="152"/>
  <c r="O40" i="152"/>
  <c r="D34" i="152"/>
  <c r="X31" i="152" a="1"/>
  <c r="X31" i="152" s="1"/>
  <c r="O31" i="152"/>
  <c r="N31" i="152"/>
  <c r="O30" i="152"/>
  <c r="N30" i="152"/>
  <c r="O29" i="152"/>
  <c r="N29" i="152"/>
  <c r="X28" i="152"/>
  <c r="O28" i="152"/>
  <c r="N28" i="152"/>
  <c r="X27" i="152"/>
  <c r="O27" i="152"/>
  <c r="N27" i="152"/>
  <c r="X26" i="152"/>
  <c r="O26" i="152"/>
  <c r="N26" i="152"/>
  <c r="X25" i="152"/>
  <c r="O25" i="152"/>
  <c r="N25" i="152"/>
  <c r="X24" i="152"/>
  <c r="O24" i="152"/>
  <c r="N24" i="152"/>
  <c r="X23" i="152"/>
  <c r="O23" i="152"/>
  <c r="N23" i="152"/>
  <c r="X22" i="152"/>
  <c r="O22" i="152"/>
  <c r="N22" i="152"/>
  <c r="X21" i="152"/>
  <c r="X20" i="152"/>
  <c r="X19" i="152"/>
  <c r="X18" i="152"/>
  <c r="X17" i="152"/>
  <c r="X16" i="152"/>
  <c r="X15" i="152"/>
  <c r="X14" i="152"/>
  <c r="X13" i="152"/>
  <c r="X12" i="152"/>
  <c r="X11" i="152"/>
  <c r="X10" i="152"/>
  <c r="O129" i="151"/>
  <c r="O128" i="151"/>
  <c r="O127" i="151"/>
  <c r="O126" i="151"/>
  <c r="N96" i="151"/>
  <c r="D70" i="151"/>
  <c r="O59" i="151"/>
  <c r="N59" i="151"/>
  <c r="D34" i="151"/>
  <c r="X31" i="151" a="1"/>
  <c r="X31" i="151" s="1"/>
  <c r="N31" i="151"/>
  <c r="N30" i="151"/>
  <c r="N29" i="151"/>
  <c r="X28" i="151"/>
  <c r="N28" i="151"/>
  <c r="X27" i="151"/>
  <c r="N27" i="151"/>
  <c r="X26" i="151"/>
  <c r="N26" i="151"/>
  <c r="X25" i="151"/>
  <c r="N25" i="151"/>
  <c r="X24" i="151"/>
  <c r="N24" i="151"/>
  <c r="X23" i="151"/>
  <c r="N23" i="151"/>
  <c r="X22" i="151"/>
  <c r="O22" i="151"/>
  <c r="N22" i="151"/>
  <c r="X21" i="151"/>
  <c r="X20" i="151"/>
  <c r="X19" i="151"/>
  <c r="X18" i="151"/>
  <c r="X17" i="151"/>
  <c r="X16" i="151"/>
  <c r="X15" i="151"/>
  <c r="X14" i="151"/>
  <c r="X13" i="151"/>
  <c r="X12" i="151"/>
  <c r="X11" i="151"/>
  <c r="X10" i="151"/>
  <c r="J126" i="179" l="1"/>
  <c r="J89" i="179"/>
  <c r="J52" i="179"/>
  <c r="Y27" i="179"/>
  <c r="Z27" i="179" s="1"/>
  <c r="Y23" i="179"/>
  <c r="Z23" i="179" s="1"/>
  <c r="Y19" i="179"/>
  <c r="Z19" i="179" s="1"/>
  <c r="Y13" i="179"/>
  <c r="Y24" i="179"/>
  <c r="Z24" i="179" s="1"/>
  <c r="Y12" i="179"/>
  <c r="Z12" i="179" s="1"/>
  <c r="Y26" i="179"/>
  <c r="Y22" i="179"/>
  <c r="Y20" i="179"/>
  <c r="Z20" i="179" s="1"/>
  <c r="Y14" i="179"/>
  <c r="Y10" i="179"/>
  <c r="Z10" i="179" s="1"/>
  <c r="Y28" i="179"/>
  <c r="Z28" i="179" s="1"/>
  <c r="Y18" i="179"/>
  <c r="Y16" i="179"/>
  <c r="Z16" i="179" s="1"/>
  <c r="Y25" i="179"/>
  <c r="Y21" i="179"/>
  <c r="Y17" i="179"/>
  <c r="Y15" i="179"/>
  <c r="Z15" i="179" s="1"/>
  <c r="Y11" i="179"/>
  <c r="Z11" i="179" s="1"/>
  <c r="J126" i="178"/>
  <c r="J89" i="178"/>
  <c r="J52" i="178"/>
  <c r="Y27" i="178"/>
  <c r="Z27" i="178" s="1"/>
  <c r="Y23" i="178"/>
  <c r="Z23" i="178" s="1"/>
  <c r="Y19" i="178"/>
  <c r="Z19" i="178" s="1"/>
  <c r="Y13" i="178"/>
  <c r="Z13" i="178" s="1"/>
  <c r="Y26" i="178"/>
  <c r="Y22" i="178"/>
  <c r="Y20" i="178"/>
  <c r="Z20" i="178" s="1"/>
  <c r="Y14" i="178"/>
  <c r="Y10" i="178"/>
  <c r="Z10" i="178" s="1"/>
  <c r="Y25" i="178"/>
  <c r="Z25" i="178" s="1"/>
  <c r="Y21" i="178"/>
  <c r="Z21" i="178" s="1"/>
  <c r="Y17" i="178"/>
  <c r="Z17" i="178" s="1"/>
  <c r="Y15" i="178"/>
  <c r="Z15" i="178" s="1"/>
  <c r="Y11" i="178"/>
  <c r="Z11" i="178" s="1"/>
  <c r="Y28" i="178"/>
  <c r="Z28" i="178" s="1"/>
  <c r="Y24" i="178"/>
  <c r="Z24" i="178" s="1"/>
  <c r="Y18" i="178"/>
  <c r="Y16" i="178"/>
  <c r="Z16" i="178" s="1"/>
  <c r="Y12" i="178"/>
  <c r="Z12" i="178" s="1"/>
  <c r="J126" i="177"/>
  <c r="J89" i="177"/>
  <c r="J52" i="177"/>
  <c r="Y27" i="177"/>
  <c r="Z27" i="177" s="1"/>
  <c r="Y23" i="177"/>
  <c r="Z23" i="177" s="1"/>
  <c r="Y19" i="177"/>
  <c r="Z19" i="177" s="1"/>
  <c r="Y13" i="177"/>
  <c r="Z13" i="177" s="1"/>
  <c r="Y26" i="177"/>
  <c r="Z26" i="177" s="1"/>
  <c r="Y22" i="177"/>
  <c r="Z22" i="177" s="1"/>
  <c r="Y20" i="177"/>
  <c r="Z20" i="177" s="1"/>
  <c r="Y14" i="177"/>
  <c r="Z14" i="177" s="1"/>
  <c r="Y10" i="177"/>
  <c r="Z10" i="177" s="1"/>
  <c r="Y25" i="177"/>
  <c r="Z25" i="177" s="1"/>
  <c r="Y21" i="177"/>
  <c r="Z21" i="177" s="1"/>
  <c r="Y17" i="177"/>
  <c r="Z17" i="177" s="1"/>
  <c r="Y15" i="177"/>
  <c r="Z15" i="177" s="1"/>
  <c r="Y11" i="177"/>
  <c r="Y28" i="177"/>
  <c r="Z28" i="177" s="1"/>
  <c r="Y24" i="177"/>
  <c r="Z24" i="177" s="1"/>
  <c r="Y18" i="177"/>
  <c r="Z18" i="177" s="1"/>
  <c r="Y16" i="177"/>
  <c r="Z16" i="177" s="1"/>
  <c r="Y12" i="177"/>
  <c r="Z12" i="177" s="1"/>
  <c r="J126" i="176"/>
  <c r="J89" i="176"/>
  <c r="J52" i="176"/>
  <c r="Y27" i="176"/>
  <c r="Y23" i="176"/>
  <c r="Z23" i="176" s="1"/>
  <c r="Y19" i="176"/>
  <c r="Z19" i="176" s="1"/>
  <c r="Y13" i="176"/>
  <c r="Z13" i="176" s="1"/>
  <c r="Y21" i="176"/>
  <c r="Z21" i="176" s="1"/>
  <c r="Y17" i="176"/>
  <c r="Z17" i="176" s="1"/>
  <c r="Y26" i="176"/>
  <c r="Y22" i="176"/>
  <c r="Y20" i="176"/>
  <c r="Y14" i="176"/>
  <c r="Y10" i="176"/>
  <c r="Z10" i="176" s="1"/>
  <c r="Y25" i="176"/>
  <c r="Z25" i="176" s="1"/>
  <c r="Y15" i="176"/>
  <c r="Z15" i="176" s="1"/>
  <c r="Y11" i="176"/>
  <c r="Z11" i="176" s="1"/>
  <c r="Y28" i="176"/>
  <c r="Z28" i="176" s="1"/>
  <c r="Y24" i="176"/>
  <c r="Y18" i="176"/>
  <c r="Y16" i="176"/>
  <c r="Y12" i="176"/>
  <c r="J126" i="175"/>
  <c r="J89" i="175"/>
  <c r="J52" i="175"/>
  <c r="Y27" i="175"/>
  <c r="Z27" i="175" s="1"/>
  <c r="Y23" i="175"/>
  <c r="Z23" i="175" s="1"/>
  <c r="Y19" i="175"/>
  <c r="Z19" i="175" s="1"/>
  <c r="Y13" i="175"/>
  <c r="Y25" i="175"/>
  <c r="Y21" i="175"/>
  <c r="Y17" i="175"/>
  <c r="Y15" i="175"/>
  <c r="Z15" i="175" s="1"/>
  <c r="Y11" i="175"/>
  <c r="Z11" i="175" s="1"/>
  <c r="Y28" i="175"/>
  <c r="Z28" i="175" s="1"/>
  <c r="Y24" i="175"/>
  <c r="Z24" i="175" s="1"/>
  <c r="Y18" i="175"/>
  <c r="Y16" i="175"/>
  <c r="Z16" i="175" s="1"/>
  <c r="Y12" i="175"/>
  <c r="Z12" i="175" s="1"/>
  <c r="Y26" i="175"/>
  <c r="Y22" i="175"/>
  <c r="Y20" i="175"/>
  <c r="Z20" i="175" s="1"/>
  <c r="Y14" i="175"/>
  <c r="Y10" i="175"/>
  <c r="Z10" i="175" s="1"/>
  <c r="J126" i="174"/>
  <c r="J89" i="174"/>
  <c r="J52" i="174"/>
  <c r="Y27" i="174"/>
  <c r="Z27" i="174" s="1"/>
  <c r="Y23" i="174"/>
  <c r="Z23" i="174" s="1"/>
  <c r="Y19" i="174"/>
  <c r="Z19" i="174" s="1"/>
  <c r="Y13" i="174"/>
  <c r="Z13" i="174" s="1"/>
  <c r="Y18" i="174"/>
  <c r="Y12" i="174"/>
  <c r="Z12" i="174" s="1"/>
  <c r="Y26" i="174"/>
  <c r="Y22" i="174"/>
  <c r="Y20" i="174"/>
  <c r="Z20" i="174" s="1"/>
  <c r="Y14" i="174"/>
  <c r="Y10" i="174"/>
  <c r="Z10" i="174" s="1"/>
  <c r="Y28" i="174"/>
  <c r="Z28" i="174" s="1"/>
  <c r="Y24" i="174"/>
  <c r="Z24" i="174" s="1"/>
  <c r="Y16" i="174"/>
  <c r="Z16" i="174" s="1"/>
  <c r="Y25" i="174"/>
  <c r="Z25" i="174" s="1"/>
  <c r="Y21" i="174"/>
  <c r="Z21" i="174" s="1"/>
  <c r="Y17" i="174"/>
  <c r="Z17" i="174" s="1"/>
  <c r="Y15" i="174"/>
  <c r="Z15" i="174" s="1"/>
  <c r="Y11" i="174"/>
  <c r="Z11" i="174" s="1"/>
  <c r="J126" i="173"/>
  <c r="J89" i="173"/>
  <c r="J52" i="173"/>
  <c r="Y27" i="173"/>
  <c r="Y23" i="173"/>
  <c r="Z23" i="173" s="1"/>
  <c r="Y19" i="173"/>
  <c r="Z19" i="173" s="1"/>
  <c r="Y13" i="173"/>
  <c r="Y26" i="173"/>
  <c r="Y22" i="173"/>
  <c r="Y20" i="173"/>
  <c r="Y14" i="173"/>
  <c r="Y10" i="173"/>
  <c r="Z10" i="173" s="1"/>
  <c r="Y25" i="173"/>
  <c r="Y21" i="173"/>
  <c r="Y17" i="173"/>
  <c r="Y15" i="173"/>
  <c r="Z15" i="173" s="1"/>
  <c r="Y11" i="173"/>
  <c r="Z11" i="173" s="1"/>
  <c r="Y28" i="173"/>
  <c r="Z28" i="173" s="1"/>
  <c r="Y24" i="173"/>
  <c r="Y18" i="173"/>
  <c r="Y16" i="173"/>
  <c r="Y12" i="173"/>
  <c r="J126" i="172"/>
  <c r="J89" i="172"/>
  <c r="J52" i="172"/>
  <c r="Y27" i="172"/>
  <c r="Z27" i="172" s="1"/>
  <c r="Y23" i="172"/>
  <c r="Z23" i="172" s="1"/>
  <c r="Y19" i="172"/>
  <c r="Z19" i="172" s="1"/>
  <c r="Y13" i="172"/>
  <c r="Z13" i="172" s="1"/>
  <c r="Y26" i="172"/>
  <c r="Y22" i="172"/>
  <c r="Y20" i="172"/>
  <c r="Z20" i="172" s="1"/>
  <c r="Y14" i="172"/>
  <c r="Y10" i="172"/>
  <c r="Z10" i="172" s="1"/>
  <c r="Y21" i="172"/>
  <c r="Z21" i="172" s="1"/>
  <c r="Y15" i="172"/>
  <c r="Z15" i="172" s="1"/>
  <c r="Y11" i="172"/>
  <c r="Z11" i="172" s="1"/>
  <c r="Y28" i="172"/>
  <c r="Z28" i="172" s="1"/>
  <c r="Y24" i="172"/>
  <c r="Z24" i="172" s="1"/>
  <c r="Y18" i="172"/>
  <c r="Y16" i="172"/>
  <c r="Z16" i="172" s="1"/>
  <c r="Y12" i="172"/>
  <c r="Z12" i="172" s="1"/>
  <c r="Y25" i="172"/>
  <c r="Z25" i="172" s="1"/>
  <c r="Y17" i="172"/>
  <c r="Z17" i="172" s="1"/>
  <c r="J126" i="171"/>
  <c r="J89" i="171"/>
  <c r="J52" i="171"/>
  <c r="Y27" i="171"/>
  <c r="Z27" i="171" s="1"/>
  <c r="Y23" i="171"/>
  <c r="Z23" i="171" s="1"/>
  <c r="Y19" i="171"/>
  <c r="Z19" i="171" s="1"/>
  <c r="Y13" i="171"/>
  <c r="Z13" i="171" s="1"/>
  <c r="Y28" i="171"/>
  <c r="Z28" i="171" s="1"/>
  <c r="Y24" i="171"/>
  <c r="Z24" i="171" s="1"/>
  <c r="Y18" i="171"/>
  <c r="Y16" i="171"/>
  <c r="Z16" i="171" s="1"/>
  <c r="Y26" i="171"/>
  <c r="Y22" i="171"/>
  <c r="Y20" i="171"/>
  <c r="Z20" i="171" s="1"/>
  <c r="Y14" i="171"/>
  <c r="Y10" i="171"/>
  <c r="Z10" i="171" s="1"/>
  <c r="Y12" i="171"/>
  <c r="Z12" i="171" s="1"/>
  <c r="Y25" i="171"/>
  <c r="Z25" i="171" s="1"/>
  <c r="Y21" i="171"/>
  <c r="Z21" i="171" s="1"/>
  <c r="Y17" i="171"/>
  <c r="Z17" i="171" s="1"/>
  <c r="Y15" i="171"/>
  <c r="Z15" i="171" s="1"/>
  <c r="Y11" i="171"/>
  <c r="Z11" i="171" s="1"/>
  <c r="J126" i="170"/>
  <c r="J89" i="170"/>
  <c r="J52" i="170"/>
  <c r="Y27" i="170"/>
  <c r="Z27" i="170" s="1"/>
  <c r="Y23" i="170"/>
  <c r="Z23" i="170" s="1"/>
  <c r="Y19" i="170"/>
  <c r="Z19" i="170" s="1"/>
  <c r="Y13" i="170"/>
  <c r="Z13" i="170" s="1"/>
  <c r="Y25" i="170"/>
  <c r="Z25" i="170" s="1"/>
  <c r="Y15" i="170"/>
  <c r="Z15" i="170" s="1"/>
  <c r="Y11" i="170"/>
  <c r="Z11" i="170" s="1"/>
  <c r="Y28" i="170"/>
  <c r="Z28" i="170" s="1"/>
  <c r="Y24" i="170"/>
  <c r="Z24" i="170" s="1"/>
  <c r="Y18" i="170"/>
  <c r="Y16" i="170"/>
  <c r="Z16" i="170" s="1"/>
  <c r="Y12" i="170"/>
  <c r="Z12" i="170" s="1"/>
  <c r="Y26" i="170"/>
  <c r="Y22" i="170"/>
  <c r="Y20" i="170"/>
  <c r="Z20" i="170" s="1"/>
  <c r="Y14" i="170"/>
  <c r="Y10" i="170"/>
  <c r="Z10" i="170" s="1"/>
  <c r="Y21" i="170"/>
  <c r="Z21" i="170" s="1"/>
  <c r="Y17" i="170"/>
  <c r="Z17" i="170" s="1"/>
  <c r="J126" i="169"/>
  <c r="J89" i="169"/>
  <c r="J52" i="169"/>
  <c r="Y27" i="169"/>
  <c r="Z27" i="169" s="1"/>
  <c r="Y23" i="169"/>
  <c r="Z23" i="169" s="1"/>
  <c r="Y19" i="169"/>
  <c r="Z19" i="169" s="1"/>
  <c r="Y13" i="169"/>
  <c r="Z13" i="169" s="1"/>
  <c r="Y21" i="169"/>
  <c r="Z21" i="169" s="1"/>
  <c r="Y17" i="169"/>
  <c r="Z17" i="169" s="1"/>
  <c r="Y15" i="169"/>
  <c r="Z15" i="169" s="1"/>
  <c r="Y11" i="169"/>
  <c r="Z11" i="169" s="1"/>
  <c r="Y28" i="169"/>
  <c r="Z28" i="169" s="1"/>
  <c r="Y24" i="169"/>
  <c r="Z24" i="169" s="1"/>
  <c r="Y18" i="169"/>
  <c r="Y16" i="169"/>
  <c r="Z16" i="169" s="1"/>
  <c r="Y12" i="169"/>
  <c r="Z12" i="169" s="1"/>
  <c r="Y26" i="169"/>
  <c r="Y22" i="169"/>
  <c r="Y20" i="169"/>
  <c r="Z20" i="169" s="1"/>
  <c r="Y14" i="169"/>
  <c r="Y10" i="169"/>
  <c r="Z10" i="169" s="1"/>
  <c r="Y25" i="169"/>
  <c r="Z25" i="169" s="1"/>
  <c r="J126" i="168"/>
  <c r="J89" i="168"/>
  <c r="J52" i="168"/>
  <c r="Y27" i="168"/>
  <c r="Z27" i="168" s="1"/>
  <c r="Y23" i="168"/>
  <c r="Z23" i="168" s="1"/>
  <c r="Y19" i="168"/>
  <c r="Z19" i="168" s="1"/>
  <c r="Y13" i="168"/>
  <c r="Z13" i="168" s="1"/>
  <c r="Y28" i="168"/>
  <c r="Z28" i="168" s="1"/>
  <c r="Y24" i="168"/>
  <c r="Z24" i="168" s="1"/>
  <c r="Y18" i="168"/>
  <c r="Y12" i="168"/>
  <c r="Z12" i="168" s="1"/>
  <c r="Y26" i="168"/>
  <c r="Y22" i="168"/>
  <c r="Y20" i="168"/>
  <c r="Z20" i="168" s="1"/>
  <c r="Y14" i="168"/>
  <c r="Y10" i="168"/>
  <c r="Z10" i="168" s="1"/>
  <c r="Y16" i="168"/>
  <c r="Z16" i="168" s="1"/>
  <c r="Y25" i="168"/>
  <c r="Z25" i="168" s="1"/>
  <c r="Y21" i="168"/>
  <c r="Z21" i="168" s="1"/>
  <c r="Y17" i="168"/>
  <c r="Z17" i="168" s="1"/>
  <c r="Y15" i="168"/>
  <c r="Z15" i="168" s="1"/>
  <c r="Y11" i="168"/>
  <c r="Z11" i="168" s="1"/>
  <c r="J126" i="166"/>
  <c r="J89" i="166"/>
  <c r="J52" i="166"/>
  <c r="Y27" i="166"/>
  <c r="Z27" i="166" s="1"/>
  <c r="Y23" i="166"/>
  <c r="Z23" i="166" s="1"/>
  <c r="Y19" i="166"/>
  <c r="Z19" i="166" s="1"/>
  <c r="Y13" i="166"/>
  <c r="Z13" i="166" s="1"/>
  <c r="Y25" i="166"/>
  <c r="Z25" i="166" s="1"/>
  <c r="Y21" i="166"/>
  <c r="Z21" i="166" s="1"/>
  <c r="Y17" i="166"/>
  <c r="Z17" i="166" s="1"/>
  <c r="Y15" i="166"/>
  <c r="Z15" i="166" s="1"/>
  <c r="Y11" i="166"/>
  <c r="Z11" i="166" s="1"/>
  <c r="Y28" i="166"/>
  <c r="Z28" i="166" s="1"/>
  <c r="Y24" i="166"/>
  <c r="Z24" i="166" s="1"/>
  <c r="Y18" i="166"/>
  <c r="Y26" i="166"/>
  <c r="Y22" i="166"/>
  <c r="Y20" i="166"/>
  <c r="Z20" i="166" s="1"/>
  <c r="Y14" i="166"/>
  <c r="Y10" i="166"/>
  <c r="Z10" i="166" s="1"/>
  <c r="Y16" i="166"/>
  <c r="Z16" i="166" s="1"/>
  <c r="Y12" i="166"/>
  <c r="Z12" i="166" s="1"/>
  <c r="J126" i="165"/>
  <c r="J89" i="165"/>
  <c r="J52" i="165"/>
  <c r="Y27" i="165"/>
  <c r="Z27" i="165" s="1"/>
  <c r="Y23" i="165"/>
  <c r="Z23" i="165" s="1"/>
  <c r="Y19" i="165"/>
  <c r="Z19" i="165" s="1"/>
  <c r="Y13" i="165"/>
  <c r="Z13" i="165" s="1"/>
  <c r="Y25" i="165"/>
  <c r="Z25" i="165" s="1"/>
  <c r="Y15" i="165"/>
  <c r="Z15" i="165" s="1"/>
  <c r="Y11" i="165"/>
  <c r="Z11" i="165" s="1"/>
  <c r="Y28" i="165"/>
  <c r="Z28" i="165" s="1"/>
  <c r="Y24" i="165"/>
  <c r="Z24" i="165" s="1"/>
  <c r="Y18" i="165"/>
  <c r="Y16" i="165"/>
  <c r="Z16" i="165" s="1"/>
  <c r="Y12" i="165"/>
  <c r="Z12" i="165" s="1"/>
  <c r="Y26" i="165"/>
  <c r="Y22" i="165"/>
  <c r="Y20" i="165"/>
  <c r="Z20" i="165" s="1"/>
  <c r="Y14" i="165"/>
  <c r="Y10" i="165"/>
  <c r="Z10" i="165" s="1"/>
  <c r="Y21" i="165"/>
  <c r="Z21" i="165" s="1"/>
  <c r="Y17" i="165"/>
  <c r="Z17" i="165" s="1"/>
  <c r="J126" i="164"/>
  <c r="J89" i="164"/>
  <c r="J52" i="164"/>
  <c r="Y27" i="164"/>
  <c r="Z27" i="164" s="1"/>
  <c r="Y23" i="164"/>
  <c r="Z23" i="164" s="1"/>
  <c r="Y19" i="164"/>
  <c r="Z19" i="164" s="1"/>
  <c r="Y13" i="164"/>
  <c r="Y25" i="164"/>
  <c r="Y17" i="164"/>
  <c r="Y15" i="164"/>
  <c r="Z15" i="164" s="1"/>
  <c r="Y28" i="164"/>
  <c r="Z28" i="164" s="1"/>
  <c r="Y24" i="164"/>
  <c r="Z24" i="164" s="1"/>
  <c r="Y18" i="164"/>
  <c r="Y16" i="164"/>
  <c r="Z16" i="164" s="1"/>
  <c r="Y12" i="164"/>
  <c r="Z12" i="164" s="1"/>
  <c r="Y26" i="164"/>
  <c r="Y22" i="164"/>
  <c r="Y20" i="164"/>
  <c r="Z20" i="164" s="1"/>
  <c r="Y14" i="164"/>
  <c r="Y10" i="164"/>
  <c r="Z10" i="164" s="1"/>
  <c r="Y21" i="164"/>
  <c r="Y11" i="164"/>
  <c r="Z11" i="164" s="1"/>
  <c r="J126" i="163"/>
  <c r="J89" i="163"/>
  <c r="J52" i="163"/>
  <c r="Y27" i="163"/>
  <c r="Z27" i="163" s="1"/>
  <c r="Y23" i="163"/>
  <c r="Z23" i="163" s="1"/>
  <c r="Y19" i="163"/>
  <c r="Z19" i="163" s="1"/>
  <c r="Y13" i="163"/>
  <c r="Z13" i="163" s="1"/>
  <c r="Y28" i="163"/>
  <c r="Z28" i="163" s="1"/>
  <c r="Y24" i="163"/>
  <c r="Z24" i="163" s="1"/>
  <c r="Y18" i="163"/>
  <c r="Y12" i="163"/>
  <c r="Z12" i="163" s="1"/>
  <c r="Y26" i="163"/>
  <c r="Y22" i="163"/>
  <c r="Y20" i="163"/>
  <c r="Z20" i="163" s="1"/>
  <c r="Y14" i="163"/>
  <c r="Y10" i="163"/>
  <c r="Z10" i="163" s="1"/>
  <c r="Y16" i="163"/>
  <c r="Z16" i="163" s="1"/>
  <c r="Y25" i="163"/>
  <c r="Z25" i="163" s="1"/>
  <c r="Y21" i="163"/>
  <c r="Z21" i="163" s="1"/>
  <c r="Y17" i="163"/>
  <c r="Y15" i="163"/>
  <c r="Z15" i="163" s="1"/>
  <c r="Y11" i="163"/>
  <c r="Z11" i="163" s="1"/>
  <c r="J126" i="162"/>
  <c r="J89" i="162"/>
  <c r="J52" i="162"/>
  <c r="Y27" i="162"/>
  <c r="Z27" i="162" s="1"/>
  <c r="Y23" i="162"/>
  <c r="Z23" i="162" s="1"/>
  <c r="Y19" i="162"/>
  <c r="Z19" i="162" s="1"/>
  <c r="Y13" i="162"/>
  <c r="Z13" i="162" s="1"/>
  <c r="Y26" i="162"/>
  <c r="Z26" i="162" s="1"/>
  <c r="Y22" i="162"/>
  <c r="Z22" i="162" s="1"/>
  <c r="Y20" i="162"/>
  <c r="Z20" i="162" s="1"/>
  <c r="Y14" i="162"/>
  <c r="Z14" i="162" s="1"/>
  <c r="Y10" i="162"/>
  <c r="Z10" i="162" s="1"/>
  <c r="Y18" i="162"/>
  <c r="Z18" i="162" s="1"/>
  <c r="Y25" i="162"/>
  <c r="Z25" i="162" s="1"/>
  <c r="Y21" i="162"/>
  <c r="Z21" i="162" s="1"/>
  <c r="Y17" i="162"/>
  <c r="Z17" i="162" s="1"/>
  <c r="Y15" i="162"/>
  <c r="Z15" i="162" s="1"/>
  <c r="Y11" i="162"/>
  <c r="Z11" i="162" s="1"/>
  <c r="Y28" i="162"/>
  <c r="Z28" i="162" s="1"/>
  <c r="Y24" i="162"/>
  <c r="Z24" i="162" s="1"/>
  <c r="Y16" i="162"/>
  <c r="Z16" i="162" s="1"/>
  <c r="Y12" i="162"/>
  <c r="Z12" i="162" s="1"/>
  <c r="J126" i="161"/>
  <c r="J89" i="161"/>
  <c r="J52" i="161"/>
  <c r="Y27" i="161"/>
  <c r="Z27" i="161" s="1"/>
  <c r="Y23" i="161"/>
  <c r="Z23" i="161" s="1"/>
  <c r="Y19" i="161"/>
  <c r="Z19" i="161" s="1"/>
  <c r="Y13" i="161"/>
  <c r="Z13" i="161" s="1"/>
  <c r="Y20" i="161"/>
  <c r="Z20" i="161" s="1"/>
  <c r="Y10" i="161"/>
  <c r="Z10" i="161" s="1"/>
  <c r="Y25" i="161"/>
  <c r="Z25" i="161" s="1"/>
  <c r="Y17" i="161"/>
  <c r="Z17" i="161" s="1"/>
  <c r="Y15" i="161"/>
  <c r="Z15" i="161" s="1"/>
  <c r="Y26" i="161"/>
  <c r="Y22" i="161"/>
  <c r="Y14" i="161"/>
  <c r="Y21" i="161"/>
  <c r="Z21" i="161" s="1"/>
  <c r="Y11" i="161"/>
  <c r="Z11" i="161" s="1"/>
  <c r="Y28" i="161"/>
  <c r="Z28" i="161" s="1"/>
  <c r="Y24" i="161"/>
  <c r="Z24" i="161" s="1"/>
  <c r="Y18" i="161"/>
  <c r="Y16" i="161"/>
  <c r="Z16" i="161" s="1"/>
  <c r="Y12" i="161"/>
  <c r="Z12" i="161" s="1"/>
  <c r="J126" i="153"/>
  <c r="J89" i="153"/>
  <c r="J52" i="153"/>
  <c r="Y27" i="153"/>
  <c r="Z27" i="153" s="1"/>
  <c r="Y23" i="153"/>
  <c r="Z23" i="153" s="1"/>
  <c r="Y19" i="153"/>
  <c r="Z19" i="153" s="1"/>
  <c r="Y13" i="153"/>
  <c r="Z13" i="153" s="1"/>
  <c r="Y26" i="153"/>
  <c r="Y22" i="153"/>
  <c r="Y20" i="153"/>
  <c r="Z20" i="153" s="1"/>
  <c r="Y14" i="153"/>
  <c r="Y10" i="153"/>
  <c r="Z10" i="153" s="1"/>
  <c r="Y28" i="153"/>
  <c r="Z28" i="153" s="1"/>
  <c r="Y24" i="153"/>
  <c r="Z24" i="153" s="1"/>
  <c r="Y18" i="153"/>
  <c r="Y16" i="153"/>
  <c r="Z16" i="153" s="1"/>
  <c r="Y12" i="153"/>
  <c r="Z12" i="153" s="1"/>
  <c r="Y25" i="153"/>
  <c r="Z25" i="153" s="1"/>
  <c r="Y21" i="153"/>
  <c r="Z21" i="153" s="1"/>
  <c r="Y17" i="153"/>
  <c r="Z17" i="153" s="1"/>
  <c r="Y15" i="153"/>
  <c r="Z15" i="153" s="1"/>
  <c r="Y11" i="153"/>
  <c r="Z11" i="153" s="1"/>
  <c r="J126" i="152"/>
  <c r="J89" i="152"/>
  <c r="J52" i="152"/>
  <c r="Y27" i="152"/>
  <c r="Z27" i="152" s="1"/>
  <c r="Y23" i="152"/>
  <c r="Z23" i="152" s="1"/>
  <c r="Y19" i="152"/>
  <c r="Z19" i="152" s="1"/>
  <c r="Y13" i="152"/>
  <c r="Z13" i="152" s="1"/>
  <c r="Y25" i="152"/>
  <c r="Z25" i="152" s="1"/>
  <c r="Y15" i="152"/>
  <c r="Z15" i="152" s="1"/>
  <c r="Y28" i="152"/>
  <c r="Z28" i="152" s="1"/>
  <c r="Y24" i="152"/>
  <c r="Z24" i="152" s="1"/>
  <c r="Y18" i="152"/>
  <c r="Y16" i="152"/>
  <c r="Z16" i="152" s="1"/>
  <c r="Y12" i="152"/>
  <c r="Z12" i="152" s="1"/>
  <c r="Y26" i="152"/>
  <c r="Y22" i="152"/>
  <c r="Y20" i="152"/>
  <c r="Z20" i="152" s="1"/>
  <c r="Y14" i="152"/>
  <c r="Y10" i="152"/>
  <c r="Z10" i="152" s="1"/>
  <c r="Y21" i="152"/>
  <c r="Z21" i="152" s="1"/>
  <c r="Y17" i="152"/>
  <c r="Z17" i="152" s="1"/>
  <c r="Y11" i="152"/>
  <c r="Z11" i="152" s="1"/>
  <c r="J126" i="151"/>
  <c r="J89" i="151"/>
  <c r="J52" i="151"/>
  <c r="Y27" i="151"/>
  <c r="Z27" i="151" s="1"/>
  <c r="Y23" i="151"/>
  <c r="Z23" i="151" s="1"/>
  <c r="Y19" i="151"/>
  <c r="Z19" i="151" s="1"/>
  <c r="Y13" i="151"/>
  <c r="Z13" i="151" s="1"/>
  <c r="Y22" i="151"/>
  <c r="Y20" i="151"/>
  <c r="Z20" i="151" s="1"/>
  <c r="Y14" i="151"/>
  <c r="Y10" i="151"/>
  <c r="Z10" i="151" s="1"/>
  <c r="Y21" i="151"/>
  <c r="Z21" i="151" s="1"/>
  <c r="Y17" i="151"/>
  <c r="Z17" i="151" s="1"/>
  <c r="Y15" i="151"/>
  <c r="Z15" i="151" s="1"/>
  <c r="Y11" i="151"/>
  <c r="Z11" i="151" s="1"/>
  <c r="Y28" i="151"/>
  <c r="Z28" i="151" s="1"/>
  <c r="Y24" i="151"/>
  <c r="Z24" i="151" s="1"/>
  <c r="Y18" i="151"/>
  <c r="Y16" i="151"/>
  <c r="Z16" i="151" s="1"/>
  <c r="Y12" i="151"/>
  <c r="Z12" i="151" s="1"/>
  <c r="Y26" i="151"/>
  <c r="Y25" i="151"/>
  <c r="Z25" i="151" s="1"/>
  <c r="O129" i="150"/>
  <c r="O128" i="150"/>
  <c r="O127" i="150"/>
  <c r="O126" i="150"/>
  <c r="N125" i="150"/>
  <c r="N124" i="150"/>
  <c r="N123" i="150"/>
  <c r="N122" i="150"/>
  <c r="N121" i="150"/>
  <c r="N120" i="150"/>
  <c r="N119" i="150"/>
  <c r="N118" i="150"/>
  <c r="N117" i="150"/>
  <c r="N116" i="150"/>
  <c r="N115" i="150"/>
  <c r="N114" i="150"/>
  <c r="N113" i="150"/>
  <c r="N112" i="150"/>
  <c r="N111" i="150"/>
  <c r="N110" i="150"/>
  <c r="N109" i="150"/>
  <c r="N108" i="150"/>
  <c r="N107" i="150"/>
  <c r="N106" i="150"/>
  <c r="N105" i="150"/>
  <c r="N104" i="150"/>
  <c r="N103" i="150"/>
  <c r="N102" i="150"/>
  <c r="N101" i="150"/>
  <c r="N100" i="150"/>
  <c r="N99" i="150"/>
  <c r="N98" i="150"/>
  <c r="N97" i="150"/>
  <c r="N96" i="150"/>
  <c r="D70" i="150"/>
  <c r="O59" i="150"/>
  <c r="N59" i="150"/>
  <c r="D34" i="150"/>
  <c r="X31" i="150" a="1"/>
  <c r="X31" i="150" s="1"/>
  <c r="N31" i="150"/>
  <c r="N30" i="150"/>
  <c r="N29" i="150"/>
  <c r="X28" i="150"/>
  <c r="N28" i="150"/>
  <c r="X27" i="150"/>
  <c r="N27" i="150"/>
  <c r="X26" i="150"/>
  <c r="N26" i="150"/>
  <c r="X25" i="150"/>
  <c r="N25" i="150"/>
  <c r="X24" i="150"/>
  <c r="N24" i="150"/>
  <c r="X23" i="150"/>
  <c r="N23" i="150"/>
  <c r="X22" i="150"/>
  <c r="O22" i="150"/>
  <c r="N22" i="150"/>
  <c r="X21" i="150"/>
  <c r="X20" i="150"/>
  <c r="X19" i="150"/>
  <c r="X18" i="150"/>
  <c r="X17" i="150"/>
  <c r="X16" i="150"/>
  <c r="X15" i="150"/>
  <c r="X14" i="150"/>
  <c r="X13" i="150"/>
  <c r="X12" i="150"/>
  <c r="X11" i="150"/>
  <c r="X10" i="150"/>
  <c r="O129" i="149"/>
  <c r="O128" i="149"/>
  <c r="O127" i="149"/>
  <c r="O126" i="149"/>
  <c r="N96" i="149"/>
  <c r="D70" i="149"/>
  <c r="O59" i="149"/>
  <c r="N59" i="149"/>
  <c r="D34" i="149"/>
  <c r="X31" i="149" a="1"/>
  <c r="X31" i="149" s="1"/>
  <c r="X28" i="149"/>
  <c r="X27" i="149"/>
  <c r="X26" i="149"/>
  <c r="X25" i="149"/>
  <c r="X24" i="149"/>
  <c r="X23" i="149"/>
  <c r="X22" i="149"/>
  <c r="O22" i="149"/>
  <c r="N22" i="149"/>
  <c r="X21" i="149"/>
  <c r="X20" i="149"/>
  <c r="X19" i="149"/>
  <c r="X18" i="149"/>
  <c r="X17" i="149"/>
  <c r="X16" i="149"/>
  <c r="X15" i="149"/>
  <c r="X14" i="149"/>
  <c r="X13" i="149"/>
  <c r="X12" i="149"/>
  <c r="X11" i="149"/>
  <c r="X10" i="149"/>
  <c r="Z12" i="75"/>
  <c r="N96" i="53"/>
  <c r="N59" i="53"/>
  <c r="O5" i="68" a="1"/>
  <c r="O5" i="68" s="1"/>
  <c r="B12" i="68" a="1"/>
  <c r="B12" i="68" s="1"/>
  <c r="X11" i="53"/>
  <c r="X12" i="53"/>
  <c r="X13" i="53"/>
  <c r="X14" i="53"/>
  <c r="X15" i="53"/>
  <c r="X16" i="53"/>
  <c r="X17" i="53"/>
  <c r="X18" i="53"/>
  <c r="X19" i="53"/>
  <c r="X20" i="53"/>
  <c r="X21" i="53"/>
  <c r="X22" i="53"/>
  <c r="X23" i="53"/>
  <c r="X24" i="53"/>
  <c r="X25" i="53"/>
  <c r="X26" i="53"/>
  <c r="X27" i="53"/>
  <c r="X28" i="53"/>
  <c r="C17" i="177" l="1"/>
  <c r="C17" i="179"/>
  <c r="D17" i="179" s="1"/>
  <c r="C17" i="178"/>
  <c r="D17" i="178" s="1"/>
  <c r="C17" i="173"/>
  <c r="D17" i="173" s="1"/>
  <c r="C17" i="175"/>
  <c r="D17" i="175" s="1"/>
  <c r="C17" i="176"/>
  <c r="D17" i="176" s="1"/>
  <c r="C17" i="174"/>
  <c r="D17" i="174" s="1"/>
  <c r="C17" i="164"/>
  <c r="D17" i="164" s="1"/>
  <c r="C17" i="166"/>
  <c r="D17" i="166" s="1"/>
  <c r="C17" i="169"/>
  <c r="D17" i="169" s="1"/>
  <c r="C17" i="171"/>
  <c r="D17" i="171" s="1"/>
  <c r="C17" i="172"/>
  <c r="D17" i="172" s="1"/>
  <c r="C17" i="162"/>
  <c r="D17" i="162" s="1"/>
  <c r="C17" i="170"/>
  <c r="D17" i="170" s="1"/>
  <c r="C17" i="153"/>
  <c r="D17" i="153" s="1"/>
  <c r="C17" i="165"/>
  <c r="D17" i="165" s="1"/>
  <c r="C17" i="163"/>
  <c r="D17" i="163" s="1"/>
  <c r="C17" i="168"/>
  <c r="D17" i="168" s="1"/>
  <c r="C17" i="161"/>
  <c r="D17" i="161" s="1"/>
  <c r="C17" i="152"/>
  <c r="D17" i="152" s="1"/>
  <c r="C17" i="151"/>
  <c r="D17" i="151" s="1"/>
  <c r="Z25" i="179"/>
  <c r="Z26" i="179"/>
  <c r="U58" i="68"/>
  <c r="Z14" i="179"/>
  <c r="Z17" i="179"/>
  <c r="Z18" i="179"/>
  <c r="W58" i="68"/>
  <c r="Z21" i="179"/>
  <c r="Z22" i="179"/>
  <c r="Z13" i="179"/>
  <c r="Z22" i="178"/>
  <c r="Z18" i="178"/>
  <c r="Z26" i="178"/>
  <c r="W57" i="68"/>
  <c r="Z14" i="178"/>
  <c r="W56" i="68"/>
  <c r="Z11" i="177"/>
  <c r="D87" i="177" s="1"/>
  <c r="T56" i="68"/>
  <c r="Z16" i="176"/>
  <c r="Z14" i="176"/>
  <c r="Z18" i="176"/>
  <c r="Z24" i="176"/>
  <c r="Z22" i="176"/>
  <c r="Z20" i="176"/>
  <c r="Z27" i="176"/>
  <c r="W55" i="68"/>
  <c r="Z12" i="176"/>
  <c r="Z26" i="176"/>
  <c r="Z26" i="175"/>
  <c r="Z17" i="175"/>
  <c r="Z14" i="175"/>
  <c r="Z21" i="175"/>
  <c r="Z25" i="175"/>
  <c r="W54" i="68"/>
  <c r="Z22" i="175"/>
  <c r="Z18" i="175"/>
  <c r="Z13" i="175"/>
  <c r="Z18" i="174"/>
  <c r="Z22" i="174"/>
  <c r="Z26" i="174"/>
  <c r="W53" i="68"/>
  <c r="Z14" i="174"/>
  <c r="Z16" i="173"/>
  <c r="Z25" i="173"/>
  <c r="Z22" i="173"/>
  <c r="Z18" i="173"/>
  <c r="Z26" i="173"/>
  <c r="Z27" i="173"/>
  <c r="W52" i="68"/>
  <c r="Z12" i="173"/>
  <c r="Z21" i="173"/>
  <c r="Z20" i="173"/>
  <c r="Z24" i="173"/>
  <c r="S52" i="68"/>
  <c r="Z17" i="173"/>
  <c r="Z14" i="173"/>
  <c r="Z13" i="173"/>
  <c r="Z26" i="172"/>
  <c r="Z14" i="172"/>
  <c r="Z18" i="172"/>
  <c r="W51" i="68"/>
  <c r="T51" i="68"/>
  <c r="Z22" i="172"/>
  <c r="Z18" i="171"/>
  <c r="Z22" i="171"/>
  <c r="Z26" i="171"/>
  <c r="W50" i="68"/>
  <c r="Z14" i="171"/>
  <c r="Z26" i="170"/>
  <c r="Z14" i="170"/>
  <c r="W49" i="68"/>
  <c r="Z22" i="170"/>
  <c r="Z18" i="170"/>
  <c r="Z22" i="169"/>
  <c r="Z18" i="169"/>
  <c r="Z26" i="169"/>
  <c r="Z14" i="169"/>
  <c r="W48" i="68"/>
  <c r="Z26" i="166"/>
  <c r="Z22" i="166"/>
  <c r="Z14" i="166"/>
  <c r="Z18" i="166"/>
  <c r="W46" i="68"/>
  <c r="Z14" i="165"/>
  <c r="Z26" i="165"/>
  <c r="W45" i="68"/>
  <c r="Z22" i="165"/>
  <c r="Z18" i="165"/>
  <c r="Z21" i="164"/>
  <c r="Z18" i="164"/>
  <c r="Z17" i="164"/>
  <c r="Z26" i="164"/>
  <c r="Z25" i="164"/>
  <c r="Z22" i="164"/>
  <c r="Z14" i="164"/>
  <c r="Z13" i="164"/>
  <c r="W44" i="68"/>
  <c r="W43" i="68"/>
  <c r="Z14" i="163"/>
  <c r="Z22" i="163"/>
  <c r="Z17" i="163"/>
  <c r="Z26" i="163"/>
  <c r="Z18" i="163"/>
  <c r="Z26" i="168"/>
  <c r="Z14" i="168"/>
  <c r="Z18" i="168"/>
  <c r="W42" i="68"/>
  <c r="Z22" i="168"/>
  <c r="W41" i="68"/>
  <c r="S41" i="68"/>
  <c r="Z18" i="161"/>
  <c r="Z14" i="161"/>
  <c r="Z22" i="161"/>
  <c r="W40" i="68"/>
  <c r="Z26" i="161"/>
  <c r="Z26" i="153"/>
  <c r="W39" i="68"/>
  <c r="T39" i="68"/>
  <c r="Z22" i="153"/>
  <c r="Z18" i="153"/>
  <c r="Z14" i="153"/>
  <c r="Z22" i="152"/>
  <c r="Z18" i="152"/>
  <c r="Z26" i="152"/>
  <c r="S38" i="68"/>
  <c r="Z14" i="152"/>
  <c r="W38" i="68"/>
  <c r="T38" i="68"/>
  <c r="Z14" i="151"/>
  <c r="Z26" i="151"/>
  <c r="U37" i="68"/>
  <c r="W37" i="68"/>
  <c r="Z18" i="151"/>
  <c r="Z22" i="151"/>
  <c r="J52" i="150"/>
  <c r="D17" i="177"/>
  <c r="D87" i="162"/>
  <c r="E86" i="162"/>
  <c r="C86" i="162" s="1"/>
  <c r="D83" i="162"/>
  <c r="E82" i="162"/>
  <c r="C82" i="162" s="1"/>
  <c r="D79" i="162"/>
  <c r="E78" i="162"/>
  <c r="C78" i="162" s="1"/>
  <c r="D75" i="162"/>
  <c r="E90" i="162"/>
  <c r="C90" i="162" s="1"/>
  <c r="E89" i="162"/>
  <c r="C89" i="162" s="1"/>
  <c r="D86" i="162"/>
  <c r="E85" i="162"/>
  <c r="C85" i="162" s="1"/>
  <c r="D82" i="162"/>
  <c r="E81" i="162"/>
  <c r="C81" i="162" s="1"/>
  <c r="D78" i="162"/>
  <c r="E77" i="162"/>
  <c r="C77" i="162" s="1"/>
  <c r="D90" i="162"/>
  <c r="D89" i="162"/>
  <c r="E88" i="162"/>
  <c r="C88" i="162" s="1"/>
  <c r="D85" i="162"/>
  <c r="E84" i="162"/>
  <c r="C84" i="162" s="1"/>
  <c r="D81" i="162"/>
  <c r="E80" i="162"/>
  <c r="C80" i="162" s="1"/>
  <c r="D77" i="162"/>
  <c r="E76" i="162"/>
  <c r="C76" i="162" s="1"/>
  <c r="D88" i="162"/>
  <c r="E87" i="162"/>
  <c r="C87" i="162" s="1"/>
  <c r="D84" i="162"/>
  <c r="E83" i="162"/>
  <c r="C83" i="162" s="1"/>
  <c r="D80" i="162"/>
  <c r="E79" i="162"/>
  <c r="C79" i="162" s="1"/>
  <c r="D76" i="162"/>
  <c r="E75" i="162"/>
  <c r="J52" i="149"/>
  <c r="J126" i="150"/>
  <c r="J89" i="150"/>
  <c r="Y26" i="150"/>
  <c r="Z26" i="150" s="1"/>
  <c r="Y22" i="150"/>
  <c r="Z22" i="150" s="1"/>
  <c r="Y20" i="150"/>
  <c r="Z20" i="150" s="1"/>
  <c r="Y14" i="150"/>
  <c r="Z14" i="150" s="1"/>
  <c r="Y10" i="150"/>
  <c r="Z10" i="150" s="1"/>
  <c r="Y28" i="150"/>
  <c r="Z28" i="150" s="1"/>
  <c r="Y24" i="150"/>
  <c r="Z24" i="150" s="1"/>
  <c r="Y18" i="150"/>
  <c r="Z18" i="150" s="1"/>
  <c r="Y27" i="150"/>
  <c r="Z27" i="150" s="1"/>
  <c r="Y23" i="150"/>
  <c r="Z23" i="150" s="1"/>
  <c r="Y19" i="150"/>
  <c r="Z19" i="150" s="1"/>
  <c r="Y25" i="150"/>
  <c r="Z25" i="150" s="1"/>
  <c r="Y21" i="150"/>
  <c r="Z21" i="150" s="1"/>
  <c r="Y17" i="150"/>
  <c r="Z17" i="150" s="1"/>
  <c r="Y15" i="150"/>
  <c r="Z15" i="150" s="1"/>
  <c r="Y11" i="150"/>
  <c r="Z11" i="150" s="1"/>
  <c r="Y16" i="150"/>
  <c r="Z16" i="150" s="1"/>
  <c r="Y12" i="150"/>
  <c r="Z12" i="150" s="1"/>
  <c r="Y13" i="150"/>
  <c r="Z13" i="150" s="1"/>
  <c r="J126" i="149"/>
  <c r="J89" i="149"/>
  <c r="Y26" i="149"/>
  <c r="Y22" i="149"/>
  <c r="Y20" i="149"/>
  <c r="Z20" i="149" s="1"/>
  <c r="Y14" i="149"/>
  <c r="Y10" i="149"/>
  <c r="Z10" i="149" s="1"/>
  <c r="Y24" i="149"/>
  <c r="Z24" i="149" s="1"/>
  <c r="Y18" i="149"/>
  <c r="Y16" i="149"/>
  <c r="Z16" i="149" s="1"/>
  <c r="Y12" i="149"/>
  <c r="Z12" i="149" s="1"/>
  <c r="Y27" i="149"/>
  <c r="Z27" i="149" s="1"/>
  <c r="Y19" i="149"/>
  <c r="Z19" i="149" s="1"/>
  <c r="Y13" i="149"/>
  <c r="Z13" i="149" s="1"/>
  <c r="Y25" i="149"/>
  <c r="Z25" i="149" s="1"/>
  <c r="Y21" i="149"/>
  <c r="Z21" i="149" s="1"/>
  <c r="Y17" i="149"/>
  <c r="Z17" i="149" s="1"/>
  <c r="Y15" i="149"/>
  <c r="Z15" i="149" s="1"/>
  <c r="Y11" i="149"/>
  <c r="Z11" i="149" s="1"/>
  <c r="Y23" i="149"/>
  <c r="Z23" i="149" s="1"/>
  <c r="Y28" i="149"/>
  <c r="Z28" i="149" s="1"/>
  <c r="T34" i="68"/>
  <c r="T57" i="68" s="1"/>
  <c r="S34" i="68"/>
  <c r="V34" i="68"/>
  <c r="V55" i="68" s="1"/>
  <c r="U34" i="68"/>
  <c r="U56" i="68" s="1"/>
  <c r="C17" i="149" l="1"/>
  <c r="C17" i="150"/>
  <c r="V51" i="68"/>
  <c r="S55" i="68"/>
  <c r="S51" i="68"/>
  <c r="S57" i="68"/>
  <c r="S54" i="68"/>
  <c r="S53" i="68"/>
  <c r="S45" i="68"/>
  <c r="S42" i="68"/>
  <c r="S39" i="68"/>
  <c r="S56" i="68"/>
  <c r="S49" i="68"/>
  <c r="S44" i="68"/>
  <c r="S43" i="68"/>
  <c r="U47" i="68"/>
  <c r="T37" i="68"/>
  <c r="V38" i="68"/>
  <c r="U41" i="68"/>
  <c r="T44" i="68"/>
  <c r="T54" i="68"/>
  <c r="V58" i="68"/>
  <c r="V56" i="68"/>
  <c r="V54" i="68"/>
  <c r="V53" i="68"/>
  <c r="V45" i="68"/>
  <c r="V42" i="68"/>
  <c r="V39" i="68"/>
  <c r="V49" i="68"/>
  <c r="V44" i="68"/>
  <c r="V43" i="68"/>
  <c r="V41" i="68"/>
  <c r="V57" i="68"/>
  <c r="V52" i="68"/>
  <c r="V50" i="68"/>
  <c r="V48" i="68"/>
  <c r="V46" i="68"/>
  <c r="V40" i="68"/>
  <c r="T55" i="68"/>
  <c r="T53" i="68"/>
  <c r="T45" i="68"/>
  <c r="T42" i="68"/>
  <c r="T41" i="68"/>
  <c r="T58" i="68"/>
  <c r="T52" i="68"/>
  <c r="T50" i="68"/>
  <c r="T48" i="68"/>
  <c r="T46" i="68"/>
  <c r="S37" i="68"/>
  <c r="U38" i="68"/>
  <c r="T40" i="68"/>
  <c r="S48" i="68"/>
  <c r="S50" i="68"/>
  <c r="U53" i="68"/>
  <c r="U51" i="68"/>
  <c r="U46" i="68"/>
  <c r="U45" i="68"/>
  <c r="U40" i="68"/>
  <c r="U39" i="68"/>
  <c r="U55" i="68"/>
  <c r="U54" i="68"/>
  <c r="U48" i="68"/>
  <c r="U44" i="68"/>
  <c r="U43" i="68"/>
  <c r="U50" i="68"/>
  <c r="U42" i="68"/>
  <c r="V37" i="68"/>
  <c r="S40" i="68"/>
  <c r="T43" i="68"/>
  <c r="S46" i="68"/>
  <c r="T49" i="68"/>
  <c r="U49" i="68"/>
  <c r="U52" i="68"/>
  <c r="U57" i="68"/>
  <c r="S58" i="68"/>
  <c r="E77" i="177"/>
  <c r="C77" i="177" s="1"/>
  <c r="D76" i="177"/>
  <c r="E81" i="178"/>
  <c r="C81" i="178" s="1"/>
  <c r="E77" i="179"/>
  <c r="C77" i="179" s="1"/>
  <c r="D84" i="179"/>
  <c r="D83" i="179"/>
  <c r="D80" i="178"/>
  <c r="E80" i="179"/>
  <c r="C80" i="179" s="1"/>
  <c r="E85" i="179"/>
  <c r="C85" i="179" s="1"/>
  <c r="E86" i="179"/>
  <c r="C86" i="179" s="1"/>
  <c r="E88" i="179"/>
  <c r="C88" i="179" s="1"/>
  <c r="D75" i="179"/>
  <c r="E82" i="179"/>
  <c r="C82" i="179" s="1"/>
  <c r="D76" i="179"/>
  <c r="D88" i="179"/>
  <c r="D89" i="179"/>
  <c r="D78" i="179"/>
  <c r="E78" i="179"/>
  <c r="C78" i="179" s="1"/>
  <c r="E76" i="179"/>
  <c r="C76" i="179" s="1"/>
  <c r="E84" i="179"/>
  <c r="C84" i="179" s="1"/>
  <c r="D90" i="179"/>
  <c r="E83" i="179"/>
  <c r="C83" i="179" s="1"/>
  <c r="E81" i="179"/>
  <c r="C81" i="179" s="1"/>
  <c r="E89" i="179"/>
  <c r="C89" i="179" s="1"/>
  <c r="D79" i="179"/>
  <c r="D87" i="179"/>
  <c r="D87" i="178"/>
  <c r="D81" i="179"/>
  <c r="E79" i="179"/>
  <c r="C79" i="179" s="1"/>
  <c r="D86" i="179"/>
  <c r="D80" i="179"/>
  <c r="D77" i="179"/>
  <c r="D85" i="179"/>
  <c r="E75" i="179"/>
  <c r="C75" i="179" s="1"/>
  <c r="E87" i="179"/>
  <c r="C87" i="179" s="1"/>
  <c r="D82" i="179"/>
  <c r="E90" i="179"/>
  <c r="C90" i="179" s="1"/>
  <c r="E76" i="177"/>
  <c r="C76" i="177" s="1"/>
  <c r="E90" i="177"/>
  <c r="C90" i="177" s="1"/>
  <c r="D88" i="178"/>
  <c r="E89" i="178"/>
  <c r="C89" i="178" s="1"/>
  <c r="D77" i="177"/>
  <c r="D75" i="177"/>
  <c r="D81" i="178"/>
  <c r="D79" i="178"/>
  <c r="E75" i="177"/>
  <c r="C75" i="177" s="1"/>
  <c r="D90" i="177"/>
  <c r="D89" i="178"/>
  <c r="E86" i="178"/>
  <c r="C86" i="178" s="1"/>
  <c r="E75" i="178"/>
  <c r="E74" i="178" s="1"/>
  <c r="E83" i="178"/>
  <c r="C83" i="178" s="1"/>
  <c r="E76" i="178"/>
  <c r="C76" i="178" s="1"/>
  <c r="E84" i="178"/>
  <c r="C84" i="178" s="1"/>
  <c r="D90" i="178"/>
  <c r="D82" i="178"/>
  <c r="E90" i="178"/>
  <c r="C90" i="178" s="1"/>
  <c r="E82" i="178"/>
  <c r="C82" i="178" s="1"/>
  <c r="D76" i="178"/>
  <c r="D84" i="178"/>
  <c r="D77" i="178"/>
  <c r="D85" i="178"/>
  <c r="E77" i="178"/>
  <c r="C77" i="178" s="1"/>
  <c r="E85" i="178"/>
  <c r="C85" i="178" s="1"/>
  <c r="D75" i="178"/>
  <c r="D83" i="178"/>
  <c r="E79" i="178"/>
  <c r="C79" i="178" s="1"/>
  <c r="E87" i="178"/>
  <c r="C87" i="178" s="1"/>
  <c r="E80" i="178"/>
  <c r="C80" i="178" s="1"/>
  <c r="E88" i="178"/>
  <c r="C88" i="178" s="1"/>
  <c r="D78" i="178"/>
  <c r="D86" i="178"/>
  <c r="E78" i="178"/>
  <c r="C78" i="178" s="1"/>
  <c r="D82" i="174"/>
  <c r="E90" i="174"/>
  <c r="C90" i="174" s="1"/>
  <c r="D83" i="176"/>
  <c r="E83" i="177"/>
  <c r="C83" i="177" s="1"/>
  <c r="E84" i="177"/>
  <c r="C84" i="177" s="1"/>
  <c r="D82" i="177"/>
  <c r="E82" i="177"/>
  <c r="C82" i="177" s="1"/>
  <c r="D77" i="174"/>
  <c r="D84" i="177"/>
  <c r="D85" i="177"/>
  <c r="E85" i="177"/>
  <c r="C85" i="177" s="1"/>
  <c r="D83" i="177"/>
  <c r="D86" i="176"/>
  <c r="D87" i="174"/>
  <c r="E79" i="177"/>
  <c r="C79" i="177" s="1"/>
  <c r="E87" i="177"/>
  <c r="C87" i="177" s="1"/>
  <c r="E80" i="177"/>
  <c r="C80" i="177" s="1"/>
  <c r="E88" i="177"/>
  <c r="C88" i="177" s="1"/>
  <c r="D78" i="177"/>
  <c r="D86" i="177"/>
  <c r="E78" i="177"/>
  <c r="C78" i="177" s="1"/>
  <c r="E86" i="177"/>
  <c r="C86" i="177" s="1"/>
  <c r="D80" i="176"/>
  <c r="D80" i="177"/>
  <c r="D88" i="177"/>
  <c r="D81" i="177"/>
  <c r="D89" i="177"/>
  <c r="E81" i="177"/>
  <c r="C81" i="177" s="1"/>
  <c r="E89" i="177"/>
  <c r="C89" i="177" s="1"/>
  <c r="D79" i="177"/>
  <c r="D79" i="174"/>
  <c r="D90" i="175"/>
  <c r="D75" i="176"/>
  <c r="D85" i="174"/>
  <c r="D84" i="174"/>
  <c r="E75" i="175"/>
  <c r="C75" i="175" s="1"/>
  <c r="E80" i="176"/>
  <c r="C80" i="176" s="1"/>
  <c r="D81" i="176"/>
  <c r="E82" i="174"/>
  <c r="C82" i="174" s="1"/>
  <c r="E76" i="175"/>
  <c r="C76" i="175" s="1"/>
  <c r="E82" i="176"/>
  <c r="C82" i="176" s="1"/>
  <c r="D76" i="176"/>
  <c r="D88" i="174"/>
  <c r="D78" i="176"/>
  <c r="E86" i="174"/>
  <c r="C86" i="174" s="1"/>
  <c r="E79" i="174"/>
  <c r="C79" i="174" s="1"/>
  <c r="E80" i="174"/>
  <c r="C80" i="174" s="1"/>
  <c r="E88" i="174"/>
  <c r="C88" i="174" s="1"/>
  <c r="E77" i="174"/>
  <c r="C77" i="174" s="1"/>
  <c r="E85" i="174"/>
  <c r="C85" i="174" s="1"/>
  <c r="E75" i="174"/>
  <c r="C75" i="174" s="1"/>
  <c r="E87" i="174"/>
  <c r="C87" i="174" s="1"/>
  <c r="E83" i="175"/>
  <c r="C83" i="175" s="1"/>
  <c r="E82" i="175"/>
  <c r="C82" i="175" s="1"/>
  <c r="E83" i="176"/>
  <c r="C83" i="176" s="1"/>
  <c r="E88" i="176"/>
  <c r="C88" i="176" s="1"/>
  <c r="E81" i="176"/>
  <c r="C81" i="176" s="1"/>
  <c r="E89" i="176"/>
  <c r="C89" i="176" s="1"/>
  <c r="E87" i="176"/>
  <c r="C87" i="176" s="1"/>
  <c r="E84" i="176"/>
  <c r="C84" i="176" s="1"/>
  <c r="E78" i="176"/>
  <c r="C78" i="176" s="1"/>
  <c r="E86" i="176"/>
  <c r="C86" i="176" s="1"/>
  <c r="D80" i="174"/>
  <c r="D81" i="174"/>
  <c r="D89" i="174"/>
  <c r="D78" i="174"/>
  <c r="D86" i="174"/>
  <c r="D76" i="174"/>
  <c r="D75" i="174"/>
  <c r="D83" i="174"/>
  <c r="E77" i="175"/>
  <c r="C77" i="175" s="1"/>
  <c r="D84" i="176"/>
  <c r="D90" i="176"/>
  <c r="D82" i="176"/>
  <c r="E90" i="176"/>
  <c r="C90" i="176" s="1"/>
  <c r="E76" i="176"/>
  <c r="C76" i="176" s="1"/>
  <c r="D85" i="176"/>
  <c r="D79" i="176"/>
  <c r="D87" i="176"/>
  <c r="D83" i="173"/>
  <c r="D87" i="175"/>
  <c r="E76" i="174"/>
  <c r="C76" i="174" s="1"/>
  <c r="E84" i="174"/>
  <c r="C84" i="174" s="1"/>
  <c r="D90" i="174"/>
  <c r="E81" i="174"/>
  <c r="C81" i="174" s="1"/>
  <c r="E89" i="174"/>
  <c r="C89" i="174" s="1"/>
  <c r="E83" i="174"/>
  <c r="C83" i="174" s="1"/>
  <c r="E78" i="174"/>
  <c r="C78" i="174" s="1"/>
  <c r="E85" i="175"/>
  <c r="C85" i="175" s="1"/>
  <c r="E84" i="175"/>
  <c r="C84" i="175" s="1"/>
  <c r="E75" i="176"/>
  <c r="E74" i="176" s="1"/>
  <c r="D88" i="176"/>
  <c r="E77" i="176"/>
  <c r="C77" i="176" s="1"/>
  <c r="E85" i="176"/>
  <c r="C85" i="176" s="1"/>
  <c r="E79" i="176"/>
  <c r="C79" i="176" s="1"/>
  <c r="D77" i="176"/>
  <c r="D89" i="176"/>
  <c r="D85" i="173"/>
  <c r="D78" i="175"/>
  <c r="D86" i="175"/>
  <c r="D76" i="175"/>
  <c r="D84" i="175"/>
  <c r="D77" i="175"/>
  <c r="D85" i="175"/>
  <c r="D75" i="175"/>
  <c r="D83" i="175"/>
  <c r="E81" i="175"/>
  <c r="C81" i="175" s="1"/>
  <c r="E89" i="175"/>
  <c r="C89" i="175" s="1"/>
  <c r="E79" i="175"/>
  <c r="C79" i="175" s="1"/>
  <c r="E87" i="175"/>
  <c r="C87" i="175" s="1"/>
  <c r="E80" i="175"/>
  <c r="C80" i="175" s="1"/>
  <c r="E88" i="175"/>
  <c r="C88" i="175" s="1"/>
  <c r="E78" i="175"/>
  <c r="C78" i="175" s="1"/>
  <c r="E86" i="175"/>
  <c r="C86" i="175" s="1"/>
  <c r="D82" i="175"/>
  <c r="E90" i="175"/>
  <c r="C90" i="175" s="1"/>
  <c r="D80" i="175"/>
  <c r="D88" i="175"/>
  <c r="D81" i="175"/>
  <c r="D89" i="175"/>
  <c r="D79" i="175"/>
  <c r="E90" i="170"/>
  <c r="C90" i="170" s="1"/>
  <c r="D80" i="172"/>
  <c r="D75" i="173"/>
  <c r="E82" i="172"/>
  <c r="C82" i="172" s="1"/>
  <c r="D76" i="173"/>
  <c r="D84" i="173"/>
  <c r="E85" i="173"/>
  <c r="C85" i="173" s="1"/>
  <c r="E89" i="172"/>
  <c r="C89" i="172" s="1"/>
  <c r="E86" i="173"/>
  <c r="C86" i="173" s="1"/>
  <c r="E77" i="173"/>
  <c r="C77" i="173" s="1"/>
  <c r="D77" i="173"/>
  <c r="E82" i="173"/>
  <c r="C82" i="173" s="1"/>
  <c r="D81" i="169"/>
  <c r="D87" i="172"/>
  <c r="D77" i="170"/>
  <c r="E85" i="171"/>
  <c r="C85" i="171" s="1"/>
  <c r="E80" i="171"/>
  <c r="C80" i="171" s="1"/>
  <c r="D81" i="172"/>
  <c r="E81" i="172"/>
  <c r="C81" i="172" s="1"/>
  <c r="D80" i="173"/>
  <c r="D88" i="173"/>
  <c r="D81" i="173"/>
  <c r="D89" i="173"/>
  <c r="E81" i="173"/>
  <c r="C81" i="173" s="1"/>
  <c r="E89" i="173"/>
  <c r="C89" i="173" s="1"/>
  <c r="D79" i="173"/>
  <c r="D87" i="173"/>
  <c r="E83" i="172"/>
  <c r="C83" i="172" s="1"/>
  <c r="E88" i="172"/>
  <c r="C88" i="172" s="1"/>
  <c r="E79" i="173"/>
  <c r="C79" i="173" s="1"/>
  <c r="E87" i="173"/>
  <c r="C87" i="173" s="1"/>
  <c r="E80" i="173"/>
  <c r="C80" i="173" s="1"/>
  <c r="E88" i="173"/>
  <c r="C88" i="173" s="1"/>
  <c r="D78" i="173"/>
  <c r="D86" i="173"/>
  <c r="E78" i="173"/>
  <c r="C78" i="173" s="1"/>
  <c r="D84" i="171"/>
  <c r="E90" i="172"/>
  <c r="C90" i="172" s="1"/>
  <c r="E75" i="173"/>
  <c r="E74" i="173" s="1"/>
  <c r="E83" i="173"/>
  <c r="C83" i="173" s="1"/>
  <c r="E76" i="173"/>
  <c r="C76" i="173" s="1"/>
  <c r="E84" i="173"/>
  <c r="C84" i="173" s="1"/>
  <c r="D90" i="173"/>
  <c r="D82" i="173"/>
  <c r="E90" i="173"/>
  <c r="C90" i="173" s="1"/>
  <c r="D84" i="170"/>
  <c r="E88" i="171"/>
  <c r="C88" i="171" s="1"/>
  <c r="D79" i="171"/>
  <c r="D84" i="172"/>
  <c r="E84" i="172"/>
  <c r="C84" i="172" s="1"/>
  <c r="E75" i="172"/>
  <c r="C75" i="172" s="1"/>
  <c r="E87" i="172"/>
  <c r="C87" i="172" s="1"/>
  <c r="D90" i="172"/>
  <c r="D82" i="172"/>
  <c r="D75" i="172"/>
  <c r="D83" i="172"/>
  <c r="D76" i="170"/>
  <c r="E77" i="171"/>
  <c r="C77" i="171" s="1"/>
  <c r="D87" i="171"/>
  <c r="D88" i="172"/>
  <c r="D85" i="172"/>
  <c r="D76" i="172"/>
  <c r="E76" i="172"/>
  <c r="C76" i="172" s="1"/>
  <c r="E77" i="172"/>
  <c r="C77" i="172" s="1"/>
  <c r="E85" i="172"/>
  <c r="C85" i="172" s="1"/>
  <c r="E78" i="172"/>
  <c r="C78" i="172" s="1"/>
  <c r="E86" i="172"/>
  <c r="C86" i="172" s="1"/>
  <c r="E83" i="171"/>
  <c r="C83" i="171" s="1"/>
  <c r="E80" i="172"/>
  <c r="C80" i="172" s="1"/>
  <c r="D89" i="172"/>
  <c r="E79" i="172"/>
  <c r="C79" i="172" s="1"/>
  <c r="D77" i="172"/>
  <c r="D78" i="172"/>
  <c r="D86" i="172"/>
  <c r="D79" i="172"/>
  <c r="E86" i="170"/>
  <c r="C86" i="170" s="1"/>
  <c r="E89" i="169"/>
  <c r="C89" i="169" s="1"/>
  <c r="E87" i="171"/>
  <c r="C87" i="171" s="1"/>
  <c r="E86" i="171"/>
  <c r="C86" i="171" s="1"/>
  <c r="D88" i="171"/>
  <c r="D89" i="171"/>
  <c r="D78" i="171"/>
  <c r="E82" i="171"/>
  <c r="C82" i="171" s="1"/>
  <c r="D89" i="169"/>
  <c r="E88" i="169"/>
  <c r="C88" i="169" s="1"/>
  <c r="D90" i="170"/>
  <c r="D75" i="170"/>
  <c r="E79" i="171"/>
  <c r="C79" i="171" s="1"/>
  <c r="E76" i="171"/>
  <c r="C76" i="171" s="1"/>
  <c r="E84" i="171"/>
  <c r="C84" i="171" s="1"/>
  <c r="D90" i="171"/>
  <c r="E81" i="171"/>
  <c r="C81" i="171" s="1"/>
  <c r="E89" i="171"/>
  <c r="C89" i="171" s="1"/>
  <c r="D75" i="171"/>
  <c r="D83" i="171"/>
  <c r="E90" i="166"/>
  <c r="C90" i="166" s="1"/>
  <c r="D87" i="169"/>
  <c r="D76" i="171"/>
  <c r="D81" i="171"/>
  <c r="D86" i="171"/>
  <c r="D82" i="170"/>
  <c r="D83" i="170"/>
  <c r="D80" i="171"/>
  <c r="D77" i="171"/>
  <c r="D85" i="171"/>
  <c r="E75" i="171"/>
  <c r="E74" i="171" s="1"/>
  <c r="D82" i="171"/>
  <c r="E90" i="171"/>
  <c r="C90" i="171" s="1"/>
  <c r="E78" i="171"/>
  <c r="C78" i="171" s="1"/>
  <c r="D79" i="169"/>
  <c r="E82" i="170"/>
  <c r="C82" i="170" s="1"/>
  <c r="D88" i="169"/>
  <c r="E81" i="169"/>
  <c r="C81" i="169" s="1"/>
  <c r="D80" i="169"/>
  <c r="D88" i="170"/>
  <c r="D85" i="170"/>
  <c r="D78" i="170"/>
  <c r="D86" i="170"/>
  <c r="D80" i="170"/>
  <c r="D81" i="170"/>
  <c r="D79" i="170"/>
  <c r="D87" i="170"/>
  <c r="E79" i="169"/>
  <c r="C79" i="169" s="1"/>
  <c r="D90" i="169"/>
  <c r="E90" i="169"/>
  <c r="C90" i="169" s="1"/>
  <c r="E87" i="170"/>
  <c r="C87" i="170" s="1"/>
  <c r="E84" i="170"/>
  <c r="C84" i="170" s="1"/>
  <c r="E77" i="170"/>
  <c r="C77" i="170" s="1"/>
  <c r="E85" i="170"/>
  <c r="C85" i="170" s="1"/>
  <c r="E79" i="170"/>
  <c r="C79" i="170" s="1"/>
  <c r="E80" i="170"/>
  <c r="C80" i="170" s="1"/>
  <c r="E78" i="170"/>
  <c r="C78" i="170" s="1"/>
  <c r="E86" i="169"/>
  <c r="C86" i="169" s="1"/>
  <c r="D77" i="169"/>
  <c r="D82" i="169"/>
  <c r="E87" i="169"/>
  <c r="C87" i="169" s="1"/>
  <c r="E82" i="169"/>
  <c r="C82" i="169" s="1"/>
  <c r="E75" i="170"/>
  <c r="C75" i="170" s="1"/>
  <c r="E76" i="170"/>
  <c r="C76" i="170" s="1"/>
  <c r="E88" i="170"/>
  <c r="C88" i="170" s="1"/>
  <c r="E81" i="170"/>
  <c r="C81" i="170" s="1"/>
  <c r="E89" i="170"/>
  <c r="C89" i="170" s="1"/>
  <c r="E83" i="170"/>
  <c r="C83" i="170" s="1"/>
  <c r="D89" i="170"/>
  <c r="D89" i="166"/>
  <c r="E83" i="169"/>
  <c r="C83" i="169" s="1"/>
  <c r="E84" i="169"/>
  <c r="C84" i="169" s="1"/>
  <c r="E77" i="169"/>
  <c r="C77" i="169" s="1"/>
  <c r="E85" i="169"/>
  <c r="C85" i="169" s="1"/>
  <c r="E75" i="169"/>
  <c r="E74" i="169" s="1"/>
  <c r="E76" i="169"/>
  <c r="C76" i="169" s="1"/>
  <c r="D75" i="169"/>
  <c r="D83" i="169"/>
  <c r="D84" i="169"/>
  <c r="D85" i="169"/>
  <c r="D78" i="169"/>
  <c r="D86" i="169"/>
  <c r="D76" i="169"/>
  <c r="E80" i="169"/>
  <c r="C80" i="169" s="1"/>
  <c r="E78" i="169"/>
  <c r="C78" i="169" s="1"/>
  <c r="D87" i="166"/>
  <c r="T47" i="68"/>
  <c r="E88" i="166"/>
  <c r="C88" i="166" s="1"/>
  <c r="E83" i="164"/>
  <c r="C83" i="164" s="1"/>
  <c r="D83" i="165"/>
  <c r="D83" i="166"/>
  <c r="D80" i="166"/>
  <c r="E81" i="166"/>
  <c r="C81" i="166" s="1"/>
  <c r="E87" i="166"/>
  <c r="C87" i="166" s="1"/>
  <c r="E78" i="166"/>
  <c r="C78" i="166" s="1"/>
  <c r="W47" i="68"/>
  <c r="E89" i="165"/>
  <c r="C89" i="165" s="1"/>
  <c r="D84" i="166"/>
  <c r="D82" i="166"/>
  <c r="E76" i="166"/>
  <c r="C76" i="166" s="1"/>
  <c r="D79" i="166"/>
  <c r="S47" i="68"/>
  <c r="D85" i="166"/>
  <c r="E89" i="166"/>
  <c r="C89" i="166" s="1"/>
  <c r="D81" i="166"/>
  <c r="E86" i="166"/>
  <c r="C86" i="166" s="1"/>
  <c r="D75" i="165"/>
  <c r="V47" i="68"/>
  <c r="E87" i="165"/>
  <c r="C87" i="165" s="1"/>
  <c r="D80" i="165"/>
  <c r="E88" i="165"/>
  <c r="C88" i="165" s="1"/>
  <c r="E75" i="166"/>
  <c r="E74" i="166" s="1"/>
  <c r="E85" i="166"/>
  <c r="C85" i="166" s="1"/>
  <c r="D77" i="166"/>
  <c r="E82" i="166"/>
  <c r="C82" i="166" s="1"/>
  <c r="D77" i="165"/>
  <c r="D88" i="166"/>
  <c r="E77" i="166"/>
  <c r="C77" i="166" s="1"/>
  <c r="E79" i="166"/>
  <c r="C79" i="166" s="1"/>
  <c r="D90" i="166"/>
  <c r="E81" i="165"/>
  <c r="C81" i="165" s="1"/>
  <c r="D76" i="166"/>
  <c r="E84" i="166"/>
  <c r="C84" i="166" s="1"/>
  <c r="D78" i="166"/>
  <c r="D86" i="166"/>
  <c r="E83" i="166"/>
  <c r="C83" i="166" s="1"/>
  <c r="E80" i="166"/>
  <c r="C80" i="166" s="1"/>
  <c r="D75" i="166"/>
  <c r="D81" i="168"/>
  <c r="E89" i="164"/>
  <c r="C89" i="164" s="1"/>
  <c r="E82" i="165"/>
  <c r="C82" i="165" s="1"/>
  <c r="D83" i="164"/>
  <c r="E76" i="165"/>
  <c r="C76" i="165" s="1"/>
  <c r="D90" i="165"/>
  <c r="D82" i="165"/>
  <c r="E90" i="165"/>
  <c r="C90" i="165" s="1"/>
  <c r="E83" i="165"/>
  <c r="C83" i="165" s="1"/>
  <c r="E80" i="165"/>
  <c r="C80" i="165" s="1"/>
  <c r="E78" i="165"/>
  <c r="C78" i="165" s="1"/>
  <c r="E86" i="165"/>
  <c r="C86" i="165" s="1"/>
  <c r="D76" i="168"/>
  <c r="D80" i="168"/>
  <c r="D80" i="164"/>
  <c r="E84" i="165"/>
  <c r="C84" i="165" s="1"/>
  <c r="E77" i="165"/>
  <c r="C77" i="165" s="1"/>
  <c r="E85" i="165"/>
  <c r="C85" i="165" s="1"/>
  <c r="E75" i="165"/>
  <c r="E74" i="165" s="1"/>
  <c r="D84" i="165"/>
  <c r="D81" i="165"/>
  <c r="D79" i="165"/>
  <c r="D87" i="165"/>
  <c r="D76" i="165"/>
  <c r="D85" i="165"/>
  <c r="D78" i="165"/>
  <c r="D86" i="165"/>
  <c r="E79" i="165"/>
  <c r="C79" i="165" s="1"/>
  <c r="D88" i="165"/>
  <c r="D89" i="165"/>
  <c r="D87" i="163"/>
  <c r="D75" i="164"/>
  <c r="D90" i="163"/>
  <c r="E88" i="164"/>
  <c r="C88" i="164" s="1"/>
  <c r="D77" i="164"/>
  <c r="E81" i="164"/>
  <c r="C81" i="164" s="1"/>
  <c r="E82" i="164"/>
  <c r="C82" i="164" s="1"/>
  <c r="E87" i="164"/>
  <c r="C87" i="164" s="1"/>
  <c r="E90" i="164"/>
  <c r="C90" i="164" s="1"/>
  <c r="E84" i="164"/>
  <c r="C84" i="164" s="1"/>
  <c r="E86" i="164"/>
  <c r="C86" i="164" s="1"/>
  <c r="D78" i="168"/>
  <c r="E80" i="164"/>
  <c r="C80" i="164" s="1"/>
  <c r="E77" i="164"/>
  <c r="C77" i="164" s="1"/>
  <c r="E85" i="164"/>
  <c r="C85" i="164" s="1"/>
  <c r="E75" i="164"/>
  <c r="E74" i="164" s="1"/>
  <c r="D88" i="164"/>
  <c r="D85" i="164"/>
  <c r="D79" i="164"/>
  <c r="D87" i="164"/>
  <c r="E79" i="168"/>
  <c r="C79" i="168" s="1"/>
  <c r="D86" i="168"/>
  <c r="D87" i="168"/>
  <c r="D90" i="164"/>
  <c r="D82" i="164"/>
  <c r="D84" i="164"/>
  <c r="E78" i="164"/>
  <c r="C78" i="164" s="1"/>
  <c r="E82" i="168"/>
  <c r="C82" i="168" s="1"/>
  <c r="E79" i="164"/>
  <c r="C79" i="164" s="1"/>
  <c r="D81" i="164"/>
  <c r="D78" i="164"/>
  <c r="D86" i="164"/>
  <c r="D76" i="164"/>
  <c r="E76" i="164"/>
  <c r="C76" i="164" s="1"/>
  <c r="D89" i="164"/>
  <c r="D85" i="168"/>
  <c r="E86" i="163"/>
  <c r="C86" i="163" s="1"/>
  <c r="E83" i="163"/>
  <c r="C83" i="163" s="1"/>
  <c r="D82" i="163"/>
  <c r="E76" i="163"/>
  <c r="C76" i="163" s="1"/>
  <c r="E90" i="163"/>
  <c r="C90" i="163" s="1"/>
  <c r="E84" i="163"/>
  <c r="C84" i="163" s="1"/>
  <c r="D79" i="163"/>
  <c r="D84" i="163"/>
  <c r="E77" i="163"/>
  <c r="C77" i="163" s="1"/>
  <c r="E85" i="163"/>
  <c r="C85" i="163" s="1"/>
  <c r="E82" i="163"/>
  <c r="C82" i="163" s="1"/>
  <c r="D89" i="152"/>
  <c r="D81" i="153"/>
  <c r="D90" i="161"/>
  <c r="D77" i="163"/>
  <c r="E79" i="163"/>
  <c r="C79" i="163" s="1"/>
  <c r="E87" i="163"/>
  <c r="C87" i="163" s="1"/>
  <c r="E80" i="163"/>
  <c r="C80" i="163" s="1"/>
  <c r="E88" i="163"/>
  <c r="C88" i="163" s="1"/>
  <c r="D78" i="163"/>
  <c r="D86" i="163"/>
  <c r="D75" i="163"/>
  <c r="D83" i="163"/>
  <c r="E75" i="163"/>
  <c r="E74" i="163" s="1"/>
  <c r="D85" i="163"/>
  <c r="D76" i="163"/>
  <c r="D80" i="163"/>
  <c r="D88" i="163"/>
  <c r="D81" i="163"/>
  <c r="D89" i="163"/>
  <c r="E81" i="163"/>
  <c r="C81" i="163" s="1"/>
  <c r="E89" i="163"/>
  <c r="C89" i="163" s="1"/>
  <c r="E78" i="163"/>
  <c r="C78" i="163" s="1"/>
  <c r="E87" i="168"/>
  <c r="C87" i="168" s="1"/>
  <c r="E88" i="168"/>
  <c r="C88" i="168" s="1"/>
  <c r="D84" i="168"/>
  <c r="E81" i="168"/>
  <c r="C81" i="168" s="1"/>
  <c r="E89" i="168"/>
  <c r="C89" i="168" s="1"/>
  <c r="E83" i="168"/>
  <c r="C83" i="168" s="1"/>
  <c r="D75" i="168"/>
  <c r="D83" i="168"/>
  <c r="E86" i="153"/>
  <c r="C86" i="153" s="1"/>
  <c r="E80" i="168"/>
  <c r="C80" i="168" s="1"/>
  <c r="D89" i="168"/>
  <c r="D88" i="168"/>
  <c r="D82" i="168"/>
  <c r="E90" i="168"/>
  <c r="C90" i="168" s="1"/>
  <c r="E76" i="168"/>
  <c r="C76" i="168" s="1"/>
  <c r="E78" i="168"/>
  <c r="C78" i="168" s="1"/>
  <c r="E86" i="168"/>
  <c r="C86" i="168" s="1"/>
  <c r="E84" i="168"/>
  <c r="C84" i="168" s="1"/>
  <c r="D90" i="168"/>
  <c r="E77" i="168"/>
  <c r="C77" i="168" s="1"/>
  <c r="E85" i="168"/>
  <c r="C85" i="168" s="1"/>
  <c r="E75" i="168"/>
  <c r="C75" i="168" s="1"/>
  <c r="D77" i="168"/>
  <c r="D79" i="168"/>
  <c r="D76" i="161"/>
  <c r="E83" i="153"/>
  <c r="C83" i="153" s="1"/>
  <c r="E79" i="161"/>
  <c r="C79" i="161" s="1"/>
  <c r="D86" i="153"/>
  <c r="D78" i="161"/>
  <c r="E80" i="152"/>
  <c r="C80" i="152" s="1"/>
  <c r="E78" i="153"/>
  <c r="C78" i="153" s="1"/>
  <c r="E76" i="161"/>
  <c r="C76" i="161" s="1"/>
  <c r="E87" i="153"/>
  <c r="C87" i="153" s="1"/>
  <c r="D78" i="153"/>
  <c r="D86" i="161"/>
  <c r="E82" i="161"/>
  <c r="C82" i="161" s="1"/>
  <c r="E79" i="152"/>
  <c r="C79" i="152" s="1"/>
  <c r="D87" i="161"/>
  <c r="D89" i="153"/>
  <c r="E84" i="161"/>
  <c r="C84" i="161" s="1"/>
  <c r="E81" i="152"/>
  <c r="C81" i="152" s="1"/>
  <c r="E82" i="152"/>
  <c r="C82" i="152" s="1"/>
  <c r="D80" i="161"/>
  <c r="D85" i="161"/>
  <c r="E81" i="161"/>
  <c r="C81" i="161" s="1"/>
  <c r="E89" i="161"/>
  <c r="C89" i="161" s="1"/>
  <c r="E83" i="161"/>
  <c r="C83" i="161" s="1"/>
  <c r="E80" i="161"/>
  <c r="C80" i="161" s="1"/>
  <c r="D75" i="161"/>
  <c r="D83" i="161"/>
  <c r="E83" i="152"/>
  <c r="C83" i="152" s="1"/>
  <c r="E89" i="152"/>
  <c r="C89" i="152" s="1"/>
  <c r="D88" i="161"/>
  <c r="D89" i="161"/>
  <c r="D82" i="161"/>
  <c r="E90" i="161"/>
  <c r="C90" i="161" s="1"/>
  <c r="D84" i="161"/>
  <c r="D81" i="161"/>
  <c r="E78" i="161"/>
  <c r="C78" i="161" s="1"/>
  <c r="E86" i="161"/>
  <c r="C86" i="161" s="1"/>
  <c r="D81" i="152"/>
  <c r="D77" i="161"/>
  <c r="E77" i="161"/>
  <c r="C77" i="161" s="1"/>
  <c r="E85" i="161"/>
  <c r="C85" i="161" s="1"/>
  <c r="E75" i="161"/>
  <c r="E74" i="161" s="1"/>
  <c r="E87" i="161"/>
  <c r="C87" i="161" s="1"/>
  <c r="E88" i="161"/>
  <c r="C88" i="161" s="1"/>
  <c r="D79" i="161"/>
  <c r="D86" i="151"/>
  <c r="D83" i="153"/>
  <c r="E76" i="153"/>
  <c r="C76" i="153" s="1"/>
  <c r="E84" i="153"/>
  <c r="C84" i="153" s="1"/>
  <c r="D90" i="153"/>
  <c r="D84" i="153"/>
  <c r="E81" i="153"/>
  <c r="C81" i="153" s="1"/>
  <c r="E89" i="153"/>
  <c r="C89" i="153" s="1"/>
  <c r="D79" i="153"/>
  <c r="D87" i="153"/>
  <c r="D85" i="151"/>
  <c r="E79" i="153"/>
  <c r="C79" i="153" s="1"/>
  <c r="D77" i="153"/>
  <c r="D85" i="153"/>
  <c r="E75" i="153"/>
  <c r="E74" i="153" s="1"/>
  <c r="D88" i="153"/>
  <c r="D82" i="153"/>
  <c r="E90" i="153"/>
  <c r="C90" i="153" s="1"/>
  <c r="E82" i="153"/>
  <c r="C82" i="153" s="1"/>
  <c r="E83" i="151"/>
  <c r="C83" i="151" s="1"/>
  <c r="D80" i="153"/>
  <c r="E80" i="153"/>
  <c r="C80" i="153" s="1"/>
  <c r="E88" i="153"/>
  <c r="C88" i="153" s="1"/>
  <c r="D76" i="153"/>
  <c r="E77" i="153"/>
  <c r="C77" i="153" s="1"/>
  <c r="E85" i="153"/>
  <c r="C85" i="153" s="1"/>
  <c r="D75" i="153"/>
  <c r="D87" i="152"/>
  <c r="D84" i="152"/>
  <c r="D90" i="152"/>
  <c r="E90" i="152"/>
  <c r="C90" i="152" s="1"/>
  <c r="D80" i="152"/>
  <c r="D83" i="152"/>
  <c r="D75" i="151"/>
  <c r="E87" i="152"/>
  <c r="C87" i="152" s="1"/>
  <c r="D85" i="152"/>
  <c r="E77" i="152"/>
  <c r="C77" i="152" s="1"/>
  <c r="E85" i="152"/>
  <c r="C85" i="152" s="1"/>
  <c r="E75" i="152"/>
  <c r="C75" i="152" s="1"/>
  <c r="D88" i="152"/>
  <c r="E78" i="152"/>
  <c r="C78" i="152" s="1"/>
  <c r="E86" i="152"/>
  <c r="C86" i="152" s="1"/>
  <c r="E84" i="152"/>
  <c r="C84" i="152" s="1"/>
  <c r="D82" i="152"/>
  <c r="D75" i="152"/>
  <c r="D77" i="152"/>
  <c r="E88" i="152"/>
  <c r="C88" i="152" s="1"/>
  <c r="D78" i="152"/>
  <c r="D86" i="152"/>
  <c r="D76" i="152"/>
  <c r="E76" i="152"/>
  <c r="C76" i="152" s="1"/>
  <c r="D79" i="152"/>
  <c r="E86" i="151"/>
  <c r="C86" i="151" s="1"/>
  <c r="D84" i="151"/>
  <c r="E88" i="151"/>
  <c r="C88" i="151" s="1"/>
  <c r="E89" i="151"/>
  <c r="C89" i="151" s="1"/>
  <c r="E78" i="151"/>
  <c r="C78" i="151" s="1"/>
  <c r="D77" i="151"/>
  <c r="D78" i="151"/>
  <c r="E79" i="151"/>
  <c r="C79" i="151" s="1"/>
  <c r="D83" i="151"/>
  <c r="E82" i="151"/>
  <c r="C82" i="151" s="1"/>
  <c r="E80" i="151"/>
  <c r="C80" i="151" s="1"/>
  <c r="E81" i="151"/>
  <c r="C81" i="151" s="1"/>
  <c r="D80" i="151"/>
  <c r="D88" i="151"/>
  <c r="D81" i="151"/>
  <c r="D90" i="151"/>
  <c r="D82" i="151"/>
  <c r="E90" i="151"/>
  <c r="C90" i="151" s="1"/>
  <c r="E87" i="151"/>
  <c r="C87" i="151" s="1"/>
  <c r="D79" i="151"/>
  <c r="D87" i="151"/>
  <c r="E75" i="151"/>
  <c r="E74" i="151" s="1"/>
  <c r="E76" i="151"/>
  <c r="C76" i="151" s="1"/>
  <c r="E84" i="151"/>
  <c r="C84" i="151" s="1"/>
  <c r="E77" i="151"/>
  <c r="C77" i="151" s="1"/>
  <c r="E85" i="151"/>
  <c r="C85" i="151" s="1"/>
  <c r="D76" i="151"/>
  <c r="D89" i="151"/>
  <c r="T36" i="68"/>
  <c r="W36" i="68"/>
  <c r="S36" i="68"/>
  <c r="U36" i="68"/>
  <c r="V36" i="68"/>
  <c r="E74" i="162"/>
  <c r="C75" i="162"/>
  <c r="D17" i="150"/>
  <c r="D17" i="149"/>
  <c r="D87" i="150"/>
  <c r="E86" i="150"/>
  <c r="C86" i="150" s="1"/>
  <c r="D83" i="150"/>
  <c r="E82" i="150"/>
  <c r="C82" i="150" s="1"/>
  <c r="D79" i="150"/>
  <c r="E78" i="150"/>
  <c r="C78" i="150" s="1"/>
  <c r="D75" i="150"/>
  <c r="D90" i="150"/>
  <c r="D89" i="150"/>
  <c r="E88" i="150"/>
  <c r="C88" i="150" s="1"/>
  <c r="D85" i="150"/>
  <c r="E84" i="150"/>
  <c r="C84" i="150" s="1"/>
  <c r="D81" i="150"/>
  <c r="E80" i="150"/>
  <c r="C80" i="150" s="1"/>
  <c r="D77" i="150"/>
  <c r="E76" i="150"/>
  <c r="C76" i="150" s="1"/>
  <c r="D88" i="150"/>
  <c r="D84" i="150"/>
  <c r="E83" i="150"/>
  <c r="C83" i="150" s="1"/>
  <c r="D76" i="150"/>
  <c r="E75" i="150"/>
  <c r="E90" i="150"/>
  <c r="C90" i="150" s="1"/>
  <c r="E89" i="150"/>
  <c r="C89" i="150" s="1"/>
  <c r="D86" i="150"/>
  <c r="E85" i="150"/>
  <c r="C85" i="150" s="1"/>
  <c r="D82" i="150"/>
  <c r="E81" i="150"/>
  <c r="C81" i="150" s="1"/>
  <c r="D78" i="150"/>
  <c r="E77" i="150"/>
  <c r="C77" i="150" s="1"/>
  <c r="E87" i="150"/>
  <c r="C87" i="150" s="1"/>
  <c r="D80" i="150"/>
  <c r="E79" i="150"/>
  <c r="C79" i="150" s="1"/>
  <c r="Z18" i="149"/>
  <c r="Z14" i="149"/>
  <c r="Z22" i="149"/>
  <c r="Z26" i="149"/>
  <c r="E74" i="179" l="1"/>
  <c r="E74" i="174"/>
  <c r="E74" i="175"/>
  <c r="E74" i="177"/>
  <c r="C75" i="178"/>
  <c r="E74" i="170"/>
  <c r="C75" i="176"/>
  <c r="E74" i="172"/>
  <c r="C75" i="171"/>
  <c r="C75" i="173"/>
  <c r="E74" i="168"/>
  <c r="C75" i="169"/>
  <c r="C75" i="166"/>
  <c r="C75" i="164"/>
  <c r="E74" i="152"/>
  <c r="C75" i="165"/>
  <c r="C75" i="153"/>
  <c r="C75" i="163"/>
  <c r="C75" i="161"/>
  <c r="C75" i="151"/>
  <c r="E74" i="150"/>
  <c r="C75" i="150"/>
  <c r="E78" i="149"/>
  <c r="C78" i="149" s="1"/>
  <c r="D76" i="149"/>
  <c r="E86" i="149"/>
  <c r="C86" i="149" s="1"/>
  <c r="E77" i="149"/>
  <c r="C77" i="149" s="1"/>
  <c r="D83" i="149"/>
  <c r="E80" i="149"/>
  <c r="C80" i="149" s="1"/>
  <c r="E85" i="149"/>
  <c r="C85" i="149" s="1"/>
  <c r="E88" i="149"/>
  <c r="C88" i="149" s="1"/>
  <c r="E79" i="149"/>
  <c r="C79" i="149" s="1"/>
  <c r="D81" i="149"/>
  <c r="D89" i="149"/>
  <c r="E83" i="149"/>
  <c r="C83" i="149" s="1"/>
  <c r="D78" i="149"/>
  <c r="D86" i="149"/>
  <c r="D80" i="149"/>
  <c r="D79" i="149"/>
  <c r="D87" i="149"/>
  <c r="E76" i="149"/>
  <c r="C76" i="149" s="1"/>
  <c r="E84" i="149"/>
  <c r="C84" i="149" s="1"/>
  <c r="D90" i="149"/>
  <c r="D84" i="149"/>
  <c r="E81" i="149"/>
  <c r="C81" i="149" s="1"/>
  <c r="E89" i="149"/>
  <c r="C89" i="149" s="1"/>
  <c r="E87" i="149"/>
  <c r="C87" i="149" s="1"/>
  <c r="E82" i="149"/>
  <c r="C82" i="149" s="1"/>
  <c r="D77" i="149"/>
  <c r="D85" i="149"/>
  <c r="E75" i="149"/>
  <c r="C75" i="149" s="1"/>
  <c r="D88" i="149"/>
  <c r="D82" i="149"/>
  <c r="E90" i="149"/>
  <c r="C90" i="149" s="1"/>
  <c r="D75" i="149"/>
  <c r="E74" i="149" l="1"/>
  <c r="Z9" i="75"/>
  <c r="Z6" i="75"/>
  <c r="F34" i="68" l="1"/>
  <c r="G34" i="68"/>
  <c r="H34" i="68"/>
  <c r="I34" i="68"/>
  <c r="J34" i="68"/>
  <c r="K34" i="68"/>
  <c r="L34" i="68"/>
  <c r="M34" i="68"/>
  <c r="N34" i="68"/>
  <c r="O34" i="68"/>
  <c r="P34" i="68"/>
  <c r="Q34" i="68"/>
  <c r="R34" i="68"/>
  <c r="E34" i="68"/>
  <c r="X10" i="53"/>
  <c r="AC50" i="68"/>
  <c r="AC51" i="68"/>
  <c r="Q58" i="68" l="1"/>
  <c r="Q54" i="68"/>
  <c r="Q44" i="68"/>
  <c r="Q41" i="68"/>
  <c r="Q57" i="68"/>
  <c r="Q51" i="68"/>
  <c r="Q50" i="68"/>
  <c r="Q49" i="68"/>
  <c r="Q43" i="68"/>
  <c r="Q55" i="68"/>
  <c r="Q48" i="68"/>
  <c r="Q46" i="68"/>
  <c r="Q45" i="68"/>
  <c r="Q52" i="68"/>
  <c r="Q42" i="68"/>
  <c r="Q39" i="68"/>
  <c r="Q53" i="68"/>
  <c r="Q56" i="68"/>
  <c r="Q40" i="68"/>
  <c r="Q37" i="68"/>
  <c r="Q38" i="68"/>
  <c r="Q47" i="68"/>
  <c r="Q36" i="68"/>
  <c r="M50" i="68"/>
  <c r="M48" i="68"/>
  <c r="M45" i="68"/>
  <c r="M42" i="68"/>
  <c r="M58" i="68"/>
  <c r="M57" i="68"/>
  <c r="M55" i="68"/>
  <c r="M52" i="68"/>
  <c r="M44" i="68"/>
  <c r="M39" i="68"/>
  <c r="M56" i="68"/>
  <c r="M54" i="68"/>
  <c r="M46" i="68"/>
  <c r="M41" i="68"/>
  <c r="M37" i="68"/>
  <c r="M53" i="68"/>
  <c r="M51" i="68"/>
  <c r="M40" i="68"/>
  <c r="M38" i="68"/>
  <c r="M43" i="68"/>
  <c r="M49" i="68"/>
  <c r="M47" i="68"/>
  <c r="M36" i="68"/>
  <c r="I50" i="68"/>
  <c r="I49" i="68"/>
  <c r="I46" i="68"/>
  <c r="I44" i="68"/>
  <c r="I43" i="68"/>
  <c r="I41" i="68"/>
  <c r="I58" i="68"/>
  <c r="I54" i="68"/>
  <c r="I40" i="68"/>
  <c r="I57" i="68"/>
  <c r="I55" i="68"/>
  <c r="I53" i="68"/>
  <c r="I51" i="68"/>
  <c r="I48" i="68"/>
  <c r="I39" i="68"/>
  <c r="I45" i="68"/>
  <c r="I56" i="68"/>
  <c r="I38" i="68"/>
  <c r="I52" i="68"/>
  <c r="I37" i="68"/>
  <c r="I42" i="68"/>
  <c r="I47" i="68"/>
  <c r="I36" i="68"/>
  <c r="P56" i="68"/>
  <c r="P50" i="68"/>
  <c r="P48" i="68"/>
  <c r="P46" i="68"/>
  <c r="P41" i="68"/>
  <c r="P40" i="68"/>
  <c r="P55" i="68"/>
  <c r="P51" i="68"/>
  <c r="P58" i="68"/>
  <c r="P53" i="68"/>
  <c r="P52" i="68"/>
  <c r="P45" i="68"/>
  <c r="P43" i="68"/>
  <c r="P54" i="68"/>
  <c r="P44" i="68"/>
  <c r="P42" i="68"/>
  <c r="P38" i="68"/>
  <c r="P57" i="68"/>
  <c r="P49" i="68"/>
  <c r="P37" i="68"/>
  <c r="P39" i="68"/>
  <c r="P47" i="68"/>
  <c r="P36" i="68"/>
  <c r="L45" i="68"/>
  <c r="L56" i="68"/>
  <c r="L53" i="68"/>
  <c r="L52" i="68"/>
  <c r="L51" i="68"/>
  <c r="L46" i="68"/>
  <c r="L42" i="68"/>
  <c r="L40" i="68"/>
  <c r="L49" i="68"/>
  <c r="L54" i="68"/>
  <c r="L39" i="68"/>
  <c r="L37" i="68"/>
  <c r="L57" i="68"/>
  <c r="L44" i="68"/>
  <c r="L43" i="68"/>
  <c r="L41" i="68"/>
  <c r="L58" i="68"/>
  <c r="L55" i="68"/>
  <c r="L50" i="68"/>
  <c r="L48" i="68"/>
  <c r="L38" i="68"/>
  <c r="L47" i="68"/>
  <c r="L36" i="68"/>
  <c r="H56" i="68"/>
  <c r="H54" i="68"/>
  <c r="H51" i="68"/>
  <c r="H57" i="68"/>
  <c r="H53" i="68"/>
  <c r="H52" i="68"/>
  <c r="H48" i="68"/>
  <c r="H46" i="68"/>
  <c r="H43" i="68"/>
  <c r="H42" i="68"/>
  <c r="H58" i="68"/>
  <c r="H49" i="68"/>
  <c r="H44" i="68"/>
  <c r="H40" i="68"/>
  <c r="H55" i="68"/>
  <c r="H41" i="68"/>
  <c r="H37" i="68"/>
  <c r="H50" i="68"/>
  <c r="H45" i="68"/>
  <c r="H38" i="68"/>
  <c r="H39" i="68"/>
  <c r="H36" i="68"/>
  <c r="H47" i="68"/>
  <c r="R57" i="68"/>
  <c r="R53" i="68"/>
  <c r="R49" i="68"/>
  <c r="R58" i="68"/>
  <c r="R56" i="68"/>
  <c r="R54" i="68"/>
  <c r="R52" i="68"/>
  <c r="R50" i="68"/>
  <c r="R48" i="68"/>
  <c r="R45" i="68"/>
  <c r="R44" i="68"/>
  <c r="R43" i="68"/>
  <c r="R41" i="68"/>
  <c r="R39" i="68"/>
  <c r="R55" i="68"/>
  <c r="R46" i="68"/>
  <c r="R51" i="68"/>
  <c r="R42" i="68"/>
  <c r="R37" i="68"/>
  <c r="R38" i="68"/>
  <c r="R40" i="68"/>
  <c r="R47" i="68"/>
  <c r="R36" i="68"/>
  <c r="E57" i="68"/>
  <c r="E53" i="68"/>
  <c r="E49" i="68"/>
  <c r="E44" i="68"/>
  <c r="E43" i="68"/>
  <c r="E54" i="68"/>
  <c r="E50" i="68"/>
  <c r="E46" i="68"/>
  <c r="E45" i="68"/>
  <c r="E58" i="68"/>
  <c r="E56" i="68"/>
  <c r="E52" i="68"/>
  <c r="E51" i="68"/>
  <c r="E42" i="68"/>
  <c r="E38" i="68"/>
  <c r="E39" i="68"/>
  <c r="E37" i="68"/>
  <c r="E55" i="68"/>
  <c r="E48" i="68"/>
  <c r="E41" i="68"/>
  <c r="E40" i="68"/>
  <c r="E36" i="68"/>
  <c r="E47" i="68"/>
  <c r="O57" i="68"/>
  <c r="O56" i="68"/>
  <c r="O53" i="68"/>
  <c r="O52" i="68"/>
  <c r="O51" i="68"/>
  <c r="O46" i="68"/>
  <c r="O42" i="68"/>
  <c r="O40" i="68"/>
  <c r="O49" i="68"/>
  <c r="O39" i="68"/>
  <c r="O58" i="68"/>
  <c r="O55" i="68"/>
  <c r="O54" i="68"/>
  <c r="O50" i="68"/>
  <c r="O48" i="68"/>
  <c r="O44" i="68"/>
  <c r="O43" i="68"/>
  <c r="O37" i="68"/>
  <c r="O41" i="68"/>
  <c r="O38" i="68"/>
  <c r="O45" i="68"/>
  <c r="O47" i="68"/>
  <c r="O36" i="68"/>
  <c r="K58" i="68"/>
  <c r="K57" i="68"/>
  <c r="K55" i="68"/>
  <c r="K53" i="68"/>
  <c r="K48" i="68"/>
  <c r="K46" i="68"/>
  <c r="K42" i="68"/>
  <c r="K56" i="68"/>
  <c r="K49" i="68"/>
  <c r="K54" i="68"/>
  <c r="K50" i="68"/>
  <c r="K45" i="68"/>
  <c r="K43" i="68"/>
  <c r="K44" i="68"/>
  <c r="K37" i="68"/>
  <c r="K51" i="68"/>
  <c r="K38" i="68"/>
  <c r="K40" i="68"/>
  <c r="K52" i="68"/>
  <c r="K41" i="68"/>
  <c r="K39" i="68"/>
  <c r="K47" i="68"/>
  <c r="K36" i="68"/>
  <c r="G52" i="68"/>
  <c r="G50" i="68"/>
  <c r="G48" i="68"/>
  <c r="G46" i="68"/>
  <c r="G43" i="68"/>
  <c r="G44" i="68"/>
  <c r="G40" i="68"/>
  <c r="G57" i="68"/>
  <c r="G54" i="68"/>
  <c r="G51" i="68"/>
  <c r="G49" i="68"/>
  <c r="G53" i="68"/>
  <c r="G45" i="68"/>
  <c r="G58" i="68"/>
  <c r="G56" i="68"/>
  <c r="G41" i="68"/>
  <c r="G37" i="68"/>
  <c r="G39" i="68"/>
  <c r="G38" i="68"/>
  <c r="G55" i="68"/>
  <c r="G42" i="68"/>
  <c r="G36" i="68"/>
  <c r="G47" i="68"/>
  <c r="N49" i="68"/>
  <c r="N55" i="68"/>
  <c r="N54" i="68"/>
  <c r="N52" i="68"/>
  <c r="N50" i="68"/>
  <c r="N45" i="68"/>
  <c r="N41" i="68"/>
  <c r="N40" i="68"/>
  <c r="N51" i="68"/>
  <c r="N44" i="68"/>
  <c r="N57" i="68"/>
  <c r="N38" i="68"/>
  <c r="N58" i="68"/>
  <c r="N56" i="68"/>
  <c r="N48" i="68"/>
  <c r="N39" i="68"/>
  <c r="N53" i="68"/>
  <c r="N37" i="68"/>
  <c r="N46" i="68"/>
  <c r="N43" i="68"/>
  <c r="N42" i="68"/>
  <c r="N47" i="68"/>
  <c r="N36" i="68"/>
  <c r="J57" i="68"/>
  <c r="J54" i="68"/>
  <c r="J51" i="68"/>
  <c r="J49" i="68"/>
  <c r="J43" i="68"/>
  <c r="J53" i="68"/>
  <c r="J45" i="68"/>
  <c r="J42" i="68"/>
  <c r="J41" i="68"/>
  <c r="J39" i="68"/>
  <c r="J58" i="68"/>
  <c r="J56" i="68"/>
  <c r="J55" i="68"/>
  <c r="J52" i="68"/>
  <c r="J46" i="68"/>
  <c r="J38" i="68"/>
  <c r="J48" i="68"/>
  <c r="J37" i="68"/>
  <c r="J44" i="68"/>
  <c r="J50" i="68"/>
  <c r="J40" i="68"/>
  <c r="J47" i="68"/>
  <c r="J36" i="68"/>
  <c r="F55" i="68"/>
  <c r="F50" i="68"/>
  <c r="F45" i="68"/>
  <c r="F44" i="68"/>
  <c r="F40" i="68"/>
  <c r="F58" i="68"/>
  <c r="F51" i="68"/>
  <c r="F41" i="68"/>
  <c r="F57" i="68"/>
  <c r="F56" i="68"/>
  <c r="F53" i="68"/>
  <c r="F48" i="68"/>
  <c r="F46" i="68"/>
  <c r="F52" i="68"/>
  <c r="F49" i="68"/>
  <c r="F39" i="68"/>
  <c r="F54" i="68"/>
  <c r="F43" i="68"/>
  <c r="F37" i="68"/>
  <c r="F42" i="68"/>
  <c r="F38" i="68"/>
  <c r="F47" i="68"/>
  <c r="F36" i="68"/>
  <c r="W34" i="68"/>
  <c r="O129" i="53"/>
  <c r="O128" i="53"/>
  <c r="O127" i="53"/>
  <c r="O126" i="53"/>
  <c r="D70" i="53"/>
  <c r="O59" i="53"/>
  <c r="N31" i="53"/>
  <c r="N30" i="53"/>
  <c r="N29" i="53"/>
  <c r="X31" i="53" a="1"/>
  <c r="X31" i="53" s="1"/>
  <c r="N28" i="53"/>
  <c r="D34" i="53"/>
  <c r="N27" i="53"/>
  <c r="N26" i="53"/>
  <c r="N25" i="53"/>
  <c r="N24" i="53"/>
  <c r="N23" i="53"/>
  <c r="O22" i="53"/>
  <c r="N22" i="53"/>
  <c r="J52" i="53" l="1"/>
  <c r="Y26" i="53"/>
  <c r="Z26" i="53" s="1"/>
  <c r="Y10" i="53"/>
  <c r="Z10" i="53" s="1"/>
  <c r="Y11" i="53"/>
  <c r="Z11" i="53" s="1"/>
  <c r="Y15" i="53"/>
  <c r="Z15" i="53" s="1"/>
  <c r="Y19" i="53"/>
  <c r="Z19" i="53" s="1"/>
  <c r="Y23" i="53"/>
  <c r="Z23" i="53" s="1"/>
  <c r="Y27" i="53"/>
  <c r="Z27" i="53" s="1"/>
  <c r="Y17" i="53"/>
  <c r="Z17" i="53" s="1"/>
  <c r="Y18" i="53"/>
  <c r="Z18" i="53" s="1"/>
  <c r="Y12" i="53"/>
  <c r="Z12" i="53" s="1"/>
  <c r="Y16" i="53"/>
  <c r="Z16" i="53" s="1"/>
  <c r="Y20" i="53"/>
  <c r="Z20" i="53" s="1"/>
  <c r="Y24" i="53"/>
  <c r="Z24" i="53" s="1"/>
  <c r="Y28" i="53"/>
  <c r="Z28" i="53" s="1"/>
  <c r="Y13" i="53"/>
  <c r="Z13" i="53" s="1"/>
  <c r="Y21" i="53"/>
  <c r="Z21" i="53" s="1"/>
  <c r="Y25" i="53"/>
  <c r="Z25" i="53" s="1"/>
  <c r="Y14" i="53"/>
  <c r="Z14" i="53" s="1"/>
  <c r="Y22" i="53"/>
  <c r="Z22" i="53" s="1"/>
  <c r="J126" i="53"/>
  <c r="J89" i="53"/>
  <c r="C17" i="53" l="1"/>
  <c r="E35" i="68"/>
  <c r="E75" i="53"/>
  <c r="E76" i="53"/>
  <c r="P35" i="68"/>
  <c r="C23" i="68" s="1" a="1"/>
  <c r="C23" i="68" s="1"/>
  <c r="D23" i="68" s="1"/>
  <c r="M35" i="68"/>
  <c r="C20" i="68" s="1" a="1"/>
  <c r="C20" i="68" s="1"/>
  <c r="D20" i="68" s="1"/>
  <c r="K35" i="68"/>
  <c r="C18" i="68" s="1" a="1"/>
  <c r="C18" i="68" s="1"/>
  <c r="D18" i="68" s="1"/>
  <c r="R35" i="68"/>
  <c r="C25" i="68" s="1" a="1"/>
  <c r="C25" i="68" s="1"/>
  <c r="D25" i="68" s="1"/>
  <c r="L35" i="68"/>
  <c r="C19" i="68" s="1" a="1"/>
  <c r="C19" i="68" s="1"/>
  <c r="D19" i="68" s="1"/>
  <c r="W35" i="68"/>
  <c r="G35" i="68"/>
  <c r="C14" i="68" s="1" a="1"/>
  <c r="C14" i="68" s="1"/>
  <c r="D14" i="68" s="1"/>
  <c r="N35" i="68"/>
  <c r="C21" i="68" s="1" a="1"/>
  <c r="C21" i="68" s="1"/>
  <c r="D21" i="68" s="1"/>
  <c r="I35" i="68"/>
  <c r="C16" i="68" s="1" a="1"/>
  <c r="C16" i="68" s="1"/>
  <c r="D16" i="68" s="1"/>
  <c r="H35" i="68"/>
  <c r="C15" i="68" s="1" a="1"/>
  <c r="C15" i="68" s="1"/>
  <c r="D15" i="68" s="1"/>
  <c r="S35" i="68"/>
  <c r="C26" i="68" s="1" a="1"/>
  <c r="C26" i="68" s="1"/>
  <c r="D26" i="68" s="1"/>
  <c r="Q35" i="68"/>
  <c r="C24" i="68" s="1" a="1"/>
  <c r="C24" i="68" s="1"/>
  <c r="D24" i="68" s="1"/>
  <c r="J35" i="68"/>
  <c r="C17" i="68" s="1" a="1"/>
  <c r="C17" i="68" s="1"/>
  <c r="D17" i="68" s="1"/>
  <c r="T35" i="68"/>
  <c r="C27" i="68" s="1" a="1"/>
  <c r="C27" i="68" s="1"/>
  <c r="D27" i="68" s="1"/>
  <c r="U35" i="68"/>
  <c r="C28" i="68" s="1" a="1"/>
  <c r="C28" i="68" s="1"/>
  <c r="D28" i="68" s="1"/>
  <c r="O35" i="68"/>
  <c r="C22" i="68" s="1" a="1"/>
  <c r="C22" i="68" s="1"/>
  <c r="D22" i="68" s="1"/>
  <c r="V35" i="68"/>
  <c r="F35" i="68"/>
  <c r="C13" i="68" s="1" a="1"/>
  <c r="C13" i="68" s="1"/>
  <c r="D13" i="68" s="1"/>
  <c r="D17" i="53" l="1"/>
  <c r="C12" i="68" a="1"/>
  <c r="C12" i="68" s="1"/>
  <c r="J7" i="68" a="1"/>
  <c r="J7" i="68" s="1"/>
  <c r="C30" i="68" a="1"/>
  <c r="C30" i="68" s="1"/>
  <c r="D30" i="68" s="1"/>
  <c r="C29" i="68" a="1"/>
  <c r="C29" i="68" s="1"/>
  <c r="D29" i="68" s="1"/>
  <c r="J8" i="68" a="1"/>
  <c r="J8" i="68" s="1"/>
  <c r="J10" i="68" a="1"/>
  <c r="J10" i="68" s="1"/>
  <c r="J12" i="68" a="1"/>
  <c r="J12" i="68" s="1"/>
  <c r="J14" i="68" a="1"/>
  <c r="J14" i="68" s="1"/>
  <c r="J16" i="68" a="1"/>
  <c r="J16" i="68" s="1"/>
  <c r="J9" i="68" a="1"/>
  <c r="J9" i="68" s="1"/>
  <c r="J11" i="68" a="1"/>
  <c r="J11" i="68" s="1"/>
  <c r="J13" i="68" a="1"/>
  <c r="J13" i="68" s="1"/>
  <c r="J15" i="68" a="1"/>
  <c r="J15" i="68" s="1"/>
  <c r="J17" i="68" a="1"/>
  <c r="J17" i="68" s="1"/>
  <c r="J18" i="68" a="1"/>
  <c r="J18" i="68" s="1"/>
  <c r="M8" i="68" a="1"/>
  <c r="M8" i="68" s="1"/>
  <c r="M10" i="68" a="1"/>
  <c r="M10" i="68" s="1"/>
  <c r="M12" i="68" a="1"/>
  <c r="M12" i="68" s="1"/>
  <c r="M18" i="68" a="1"/>
  <c r="M18" i="68" s="1"/>
  <c r="M11" i="68" a="1"/>
  <c r="M11" i="68" s="1"/>
  <c r="M13" i="68" a="1"/>
  <c r="M13" i="68" s="1"/>
  <c r="M17" i="68" a="1"/>
  <c r="M17" i="68" s="1"/>
  <c r="M16" i="68" a="1"/>
  <c r="M16" i="68" s="1"/>
  <c r="M9" i="68" a="1"/>
  <c r="M9" i="68" s="1"/>
  <c r="M15" i="68" a="1"/>
  <c r="M15" i="68" s="1"/>
  <c r="M14" i="68" a="1"/>
  <c r="M14" i="68" s="1"/>
  <c r="M7" i="68" a="1"/>
  <c r="M7" i="68" s="1"/>
  <c r="C76" i="53"/>
  <c r="E85" i="53"/>
  <c r="C85" i="53" s="1"/>
  <c r="D86" i="53"/>
  <c r="D75" i="53"/>
  <c r="D90" i="53"/>
  <c r="E89" i="53"/>
  <c r="C89" i="53" s="1"/>
  <c r="E81" i="53"/>
  <c r="C81" i="53" s="1"/>
  <c r="E87" i="53"/>
  <c r="C87" i="53" s="1"/>
  <c r="D81" i="53"/>
  <c r="E80" i="53"/>
  <c r="C80" i="53" s="1"/>
  <c r="D88" i="53"/>
  <c r="D83" i="53"/>
  <c r="E88" i="53"/>
  <c r="C88" i="53" s="1"/>
  <c r="D85" i="53"/>
  <c r="E84" i="53"/>
  <c r="C84" i="53" s="1"/>
  <c r="D76" i="53"/>
  <c r="E77" i="53"/>
  <c r="C77" i="53" s="1"/>
  <c r="D80" i="53"/>
  <c r="E78" i="53"/>
  <c r="C78" i="53" s="1"/>
  <c r="D77" i="53"/>
  <c r="D84" i="53"/>
  <c r="E82" i="53"/>
  <c r="C82" i="53" s="1"/>
  <c r="D89" i="53"/>
  <c r="E83" i="53"/>
  <c r="C83" i="53" s="1"/>
  <c r="E90" i="53"/>
  <c r="C90" i="53" s="1"/>
  <c r="E79" i="53"/>
  <c r="C79" i="53" s="1"/>
  <c r="D79" i="53"/>
  <c r="D78" i="53"/>
  <c r="E86" i="53"/>
  <c r="C86" i="53" s="1"/>
  <c r="D87" i="53"/>
  <c r="D82" i="53"/>
  <c r="R5" i="68" l="1" a="1"/>
  <c r="R5" i="68" s="1"/>
  <c r="Q5" i="68" a="1"/>
  <c r="Q5" i="68" s="1"/>
  <c r="D12" i="68"/>
  <c r="S5" i="68" s="1" a="1"/>
  <c r="S5" i="68" s="1"/>
  <c r="C3" i="68" l="1"/>
  <c r="B6" i="68"/>
  <c r="C6" i="68" s="1"/>
  <c r="B9" i="68"/>
  <c r="C9" i="68" s="1"/>
  <c r="O18" i="75"/>
  <c r="M18" i="75" s="1"/>
  <c r="O19" i="75"/>
  <c r="M19" i="75" s="1"/>
  <c r="O23" i="75"/>
  <c r="M23" i="75" s="1"/>
  <c r="O27" i="75"/>
  <c r="M27" i="75" s="1"/>
  <c r="O31" i="75"/>
  <c r="M31" i="75" s="1"/>
  <c r="O25" i="75"/>
  <c r="M25" i="75" s="1"/>
  <c r="O33" i="75"/>
  <c r="M33" i="75" s="1"/>
  <c r="O26" i="75"/>
  <c r="M26" i="75" s="1"/>
  <c r="O20" i="75"/>
  <c r="M20" i="75" s="1"/>
  <c r="O24" i="75"/>
  <c r="M24" i="75" s="1"/>
  <c r="O28" i="75"/>
  <c r="M28" i="75" s="1"/>
  <c r="O32" i="75"/>
  <c r="M32" i="75" s="1"/>
  <c r="O21" i="75"/>
  <c r="M21" i="75" s="1"/>
  <c r="O29" i="75"/>
  <c r="M29" i="75" s="1"/>
  <c r="O22" i="75"/>
  <c r="M22" i="75" s="1"/>
  <c r="O30" i="75"/>
  <c r="M30" i="75" s="1"/>
  <c r="N30" i="75"/>
  <c r="N18" i="75"/>
  <c r="N31" i="75"/>
  <c r="N26" i="75"/>
  <c r="N25" i="75"/>
  <c r="N32" i="75"/>
  <c r="N27" i="75"/>
  <c r="N22" i="75"/>
  <c r="N21" i="75"/>
  <c r="N28" i="75"/>
  <c r="N23" i="75"/>
  <c r="N33" i="75"/>
  <c r="N20" i="75"/>
  <c r="N24" i="75"/>
  <c r="N29" i="75"/>
  <c r="N19" i="75"/>
  <c r="E74" i="53" l="1"/>
  <c r="C75" i="53"/>
  <c r="J19" i="68" l="1"/>
  <c r="M19" i="68"/>
  <c r="I23" i="6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B3" authorId="0" shapeId="0" xr:uid="{2E25E668-0A2F-45FB-8EAA-12DD6F8498C7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fórmula retorna o valor da célula D11. Se D11 for igual a "Maior Gasto", a fórmula busca o produto com o valor mais alto na coluna de valores (C12:C27) e retorna o nome correspondente da coluna de produtos (B12:B27).</t>
        </r>
      </text>
    </comment>
    <comment ref="C3" authorId="0" shapeId="0" xr:uid="{FB5F6438-851C-4909-9D3D-E42F26D91C0D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fórmula retorna o valor correspondente ao produto especificado na célula B6. Ela busca esse produto na coluna B12:B28 e, ao encontrá-lo, retorna o valor associado na coluna C12:C28.</t>
        </r>
      </text>
    </comment>
    <comment ref="O4" authorId="0" shapeId="0" xr:uid="{E4B49629-9870-4C3B-A99E-A006C02291C8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Coluna exibe apenas os nomes disponíveis na aba Personalização.</t>
        </r>
      </text>
    </comment>
    <comment ref="F5" authorId="0" shapeId="0" xr:uid="{E45E0D61-A91F-47B7-ABE3-AD8C2A83A9BF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G5" authorId="0" shapeId="0" xr:uid="{E89DD90D-4D4B-438D-972D-3A0F91B659E7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  <comment ref="B6" authorId="0" shapeId="0" xr:uid="{8E6A64A8-1E01-495B-8836-207BDDF6F540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fórmula retorna o valor da célula D11. Se D11 for igual a "Maior Gasto", a fórmula busca o produto com o valor mais alto na coluna de valores (C12:C27) e retorna o nome correspondente da coluna de produtos (B12:B27).</t>
        </r>
      </text>
    </comment>
    <comment ref="C6" authorId="0" shapeId="0" xr:uid="{8062A8A9-7E40-4323-B558-E0033EC95208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fórmula retorna o valor correspondente ao produto especificado na célula B6. Ela busca esse produto na coluna B12:B28 e, ao encontrá-lo, retorna o valor associado na coluna C12:C28.</t>
        </r>
      </text>
    </comment>
    <comment ref="J6" authorId="0" shapeId="0" xr:uid="{A222301E-1E02-4919-95E9-B35AC2CD1DAF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Soma de gasto por mês.</t>
        </r>
      </text>
    </comment>
    <comment ref="M6" authorId="0" shapeId="0" xr:uid="{89C4530C-268F-4551-8D6C-2E54B2E7D63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Soma de gasto por mês.</t>
        </r>
      </text>
    </comment>
    <comment ref="B9" authorId="0" shapeId="0" xr:uid="{7ADD42E0-C99B-466A-AF44-157E424996CD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fórmula retorna o valor da célula D11. Se D11 for igual a "Maior Gasto", a fórmula busca o produto com o valor mais alto na coluna de valores (C12:C27) e retorna o nome correspondente da coluna de produtos (B12:B27).</t>
        </r>
      </text>
    </comment>
    <comment ref="C9" authorId="0" shapeId="0" xr:uid="{E577BBE8-5A88-45AA-ACF7-8043EC1232DC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fórmula retorna o valor correspondente ao produto especificado na célula B6. Ela busca esse produto na coluna B12:B28 e, ao encontrá-lo, retorna o valor associado na coluna C12:C28.</t>
        </r>
      </text>
    </comment>
    <comment ref="C11" authorId="0" shapeId="0" xr:uid="{C366EFCA-E0E7-4EBD-8504-BD56E93CC47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Soma total de cada produto listado a baixo</t>
        </r>
      </text>
    </comment>
    <comment ref="D11" authorId="0" shapeId="0" xr:uid="{09A367D0-B378-4F4C-B0C0-E04C1CA19E4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C12:C27 com base na linha, criando um identificador único para diferenciar valores duplicados no ranking.</t>
        </r>
      </text>
    </comment>
    <comment ref="I22" authorId="0" shapeId="0" xr:uid="{CFDE810B-1216-4E92-B7FF-BE57644670EF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Soma total de 2024 e 2025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8D444426-C65A-4531-B099-9E4B31F23F04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BC2C2624-43FB-447C-81F6-248842E19C5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1E8AEA29-CB6E-431C-8F54-3E1A8FDC76AC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C15F7E9B-E092-46F4-8F08-2126F7388B21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A0D86A8C-955C-429A-9942-722F74203DE3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85556463-40D6-4BE6-AE5F-F4860E829488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BD7A612F-6910-4905-A5FF-8DD806D7F2E5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ED81F49D-C00E-4E10-8847-914EF96C656F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8D4A7222-334E-4949-80D9-018C04802DBD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389ADC77-4426-471A-A04D-8D1A51A74B3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A3E500EB-732C-49AB-AA7D-7ECD647130E9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62A1BC1E-492A-46CB-9B33-E57244E8E49E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31A51E1C-5EA0-4BFB-B890-EB2429388641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742C6F2D-E714-4196-893A-52DE2E72D786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CD89F9FF-2EC3-4168-B914-9E9CD8A2FFF8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DB6E14E8-40B8-4154-A981-D0A6EB3280EE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E560765C-4F02-472E-AA93-B4BD430C093E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684A1436-7178-4935-851B-B5C9EAE7D76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E8CC1077-889E-4094-8BE9-3A684C82DFAE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5C636520-36E1-4F9C-9256-12B16E69F67E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04EBB501-3832-4142-91C8-E3FA1C684CD8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AC4E7E0B-4A59-477F-ACC1-52206E0E3CC7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B41B9CE2-01CD-4451-A020-2041495250CF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4B16B45B-9359-4763-A247-B379F003A490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70665FAD-02F5-4DCE-819A-A355610B1B7F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FB625D77-0411-47BE-9BDB-BC94C6E70ACF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F3C2E4AD-EE71-4516-9306-9A8AF39DFEF7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5CACD082-E9BB-43CA-AED3-9596FFE4CC0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E19F0ADA-B16F-42BE-9811-9A02F77799D5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901DDE84-E94E-419B-ADD1-6CA444DE8197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D38367E1-FB75-44E8-8415-4D0F9A55F760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E3D37A1C-2E4B-4451-8B62-97F7F6A2B680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9D78CD1D-58B0-4B12-B982-88CEE8EFE906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F806886B-16AC-4214-9736-D27D260711E3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B9CB0EC9-65DE-4894-BD65-94612936F1D9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78580A6D-A463-465D-A565-E8181B534E2D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6B581BB8-FE10-42FB-B6E8-D3F3292DB458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2C1522BF-BCF9-44C9-B8E1-3B71CAEC5147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62DD6825-3DF7-4B49-9810-712E709BFCEB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D3375373-CE60-425D-9619-06AF0E113AE6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809F1A54-B65A-4F17-8A89-F57A5BC39431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A9832095-E071-41EA-8DED-A8B5EBE8677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14A3297B-E556-40A1-AF26-AC06F6A9A6A3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0AFE50C1-8BCD-4255-ACC2-A39D2013ED1A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DA0B3903-F4E4-46B3-955D-D73DB86AB7D0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9847E33F-247B-4C7D-AB6F-0E5AB743E2F1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3FD1A537-F707-4A17-8702-41687CBC5AAE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23F738D4-283D-4344-8195-9A16BB89317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E19567CF-7D7A-4DEB-B67B-F6630F7C51B3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63DB5C99-C55E-40A1-A534-0F4D20CE47B6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0E233494-7E65-45B2-AC21-89DB102A546F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667DE482-6005-47FD-841C-BB6F1DB6828B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179ECE0F-AD21-463B-B76D-5512818C102B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17F8D748-D145-4E2B-B0A3-DD66EE9026C8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0944ADB9-E7DB-48E9-AC05-3559FA77517C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1A6CDFF0-FDB4-4BAA-B5A8-EFEE23F0DA27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47E65B82-3AEF-408E-81D9-74A0AF891DA8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CF424A7D-742F-4B3D-A3C2-BD2C8E7F205D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858AEF67-69E5-4E40-BEB7-DB4E86166624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CEF9AF95-222E-4B05-B9A0-3139BD973AB0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FC2FFA96-3F6C-4579-80CC-2946BA6D6F85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011CCB2F-EACF-4BE2-A7E4-E045E5953C16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B6290A9B-E8F7-44A3-AE24-AD7631ECFDCA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851B67A9-417B-45F0-B706-5B052A731DEB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CC56F53C-5472-471B-866D-41EE4D7E35A1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D393273B-9665-4AB6-B6CA-1FC46BD80F48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BC737DC8-90A1-4277-8B2B-E100DDC59C27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0E173EC7-AE4E-4A8C-A5B1-71ECEDA026BB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0B4386F4-E5A8-490F-B22B-9D74BBAD6F66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76711A06-3DF3-459C-AB6A-B351FB278F5C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77EB43C2-7019-4A49-8D56-A0159BBAB84B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87229F7F-022E-432B-98C7-2FEF59662973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E9737C6A-6542-4158-8024-9656A6ED66BC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A06B6AA1-1801-451B-B040-291CC6E0A652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030F4C13-2B2E-4166-A339-A4A1309468B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3D9772E1-8B96-4686-A5C1-89095AF92E96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4E5424BB-4F99-4896-BDE6-70DC227707ED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EF04D558-919C-4D75-9CAC-DBE3220D49E9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796125B9-0F18-422D-8EDA-40F1E3401BC3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459B26D2-3D7D-46BE-8D7F-B99DCBE579E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CA23ACD6-3043-4954-8ABC-EDBBE1EF86B8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8AD3EFFA-6162-4A0B-A85B-42E7D54B1429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C7EBE8FF-F54C-473B-8145-792F198FA1FC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12590E03-FCA8-4BC2-A85C-D5B64FACFEE2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E4BF8DF4-7724-4BCD-A65B-F1FCC86D7335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15CA8949-1554-440C-8CEA-3510199F5599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412E43A3-C11F-4758-BC94-D81C079D2243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67CF94B7-9925-4B57-97FD-A7D2FC8DE249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51FE5DB1-A3A1-4091-AF37-0EEC841F4A40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87FF7079-3951-402A-B2B0-77AF0369165C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F4F1102E-D0D2-4768-8064-B1AF5F4CD5F0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79BBA74C-576E-4C69-9B93-604101E49EEB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7C1ECDD1-0584-476C-B652-2B92422EBF0A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21D2C66A-0F05-4102-9899-80D8BA4387B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FD88811B-79C9-49B7-B6DF-8436B11E1C28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764A478D-4E84-4667-BCD2-1988B0A98AAD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950A86C2-33A3-4CF2-9277-0B593840B7A5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E4F51D7F-B523-4512-98B6-3DFB899AEDE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6D007DD4-6DF2-4A32-B678-6ED7E1D65BE6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A904DE2D-BBE1-4CD1-86DF-B98759940532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A265CB8E-DB0F-4283-9F1B-8F22A265142D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0C18AF76-1846-4195-909E-69A6F69FF7D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98E5479F-630A-435C-A097-E6502EDD0FC2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595C19B0-F40C-4A9F-BE42-9A3622CC4A5E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60053052-BF28-4CBC-ABCD-9F1834BDE54C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A2FD1815-0257-41E1-923D-C4B56473F47C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DC57085F-E648-455A-B228-7F3206EF176D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F853011C-860B-4BBC-8BC9-C0D26B05DD56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AE06FD0C-6F63-4C2A-A5D0-64A439A99A54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66E38A54-9DC0-4852-8C13-01ED73CCBDCB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FF2547C0-08E4-482F-8756-133A697921DE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142D6AD6-8976-4B62-A529-4A03CB5F2E99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DDAF1679-3855-4525-97CE-DB6FC6AA5756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C829AE32-45CC-4E0B-BDC2-5F09B25C5642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E4813161-BD42-4938-A260-970DF3990101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CF2A6D96-3D25-4A2B-8638-8BFDD79871A6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8421F71F-E2C1-401D-ACC9-C2DF6B70413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DB34351D-56BC-4605-94A4-891B57967F89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79483304-B7CA-4D0F-802A-EE81E7911406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BF3730F1-BB80-47A4-ACEE-FA04BD1DB87D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B1301F8E-2A4A-434A-80F5-ACC0AA24E03D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F0606B3A-3545-4607-89E4-F07DD1B23F8F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57F77EA4-A179-43A6-A272-6BD8FC2FF64B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2B9CCCB0-B637-4D8A-BCEC-3EBBD7ECB2D7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EEA8652C-9507-4E45-A0CF-94CB9C8493E4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252A5D40-401D-47C4-B7B3-4FF21C7B9871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FD3B647D-F677-488E-806E-FF36F64C5336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B8F7C1B6-49A5-4934-B726-A8EFE01B5BC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5FFB66D9-598D-4444-886B-C6C970413B07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A7892044-2C2E-4178-A255-4047CA11695B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F554A236-91D1-403D-BCCC-C6C75F8FB7ED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3272E608-B053-4DE7-B563-0DCC2F26817D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7F7A2754-B8A2-49AF-8BC2-05D1DF5CB5A8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4DF9FC3C-BCB8-4F3D-9DC9-2681D5757F99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D32DAF40-46B3-4533-9E5C-8E448D771453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CB4CD4B3-B259-4417-9716-5FD713F35F43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D7921B41-A9BD-476B-AFA3-1692069E2AC5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D8497A07-2507-4555-BF82-31410722825F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Y9" authorId="0" shapeId="0" xr:uid="{F8B5A254-25CE-4896-9605-674AE35B25FF}">
      <text>
        <r>
          <rPr>
            <b/>
            <sz val="9"/>
            <color indexed="81"/>
            <rFont val="Segoe UI"/>
            <family val="2"/>
          </rPr>
          <t>Retorna a soma dos produtos. 
Se a tabela contiver "Parc.Nome.nomedaaba" na coluna "Nome do Produto", soma apenas o valor correspondente à linha com "Parc.Nome.nomedaaba", atribuindo 0 às demais compras.</t>
        </r>
      </text>
    </comment>
    <comment ref="Z9" authorId="0" shapeId="0" xr:uid="{D0EF5431-7D95-4F76-AA1C-27E534180E46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Adiciona uma pequena fração ao valor em Y10:Y28 com base na linha, criando um identificador único para diferenciar valores duplicados no ranking.</t>
        </r>
      </text>
    </comment>
    <comment ref="O21" authorId="0" shapeId="0" xr:uid="{15ECBF46-E3D6-4871-84F7-8FE68C6EDDFD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  <comment ref="X31" authorId="0" shapeId="0" xr:uid="{FD6F2A2C-1BD4-4DA8-9581-46DAA423E44D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Fórmula que retorna o nome da aba atual, utilizada para identificar o parcelamento da fatura do mês correspondente.</t>
        </r>
      </text>
    </comment>
    <comment ref="X34" authorId="0" shapeId="0" xr:uid="{F685A8BE-0212-48DD-889D-8D85D6E96C95}">
      <text>
        <r>
          <rPr>
            <b/>
            <sz val="9"/>
            <color indexed="81"/>
            <rFont val="Segoe UI"/>
            <family val="2"/>
          </rPr>
          <t>Fabricio Oliveira:
A coluna Contagem auxilia a fórmula, fornecendo posições sequenciais (1 a 16) para ranquear os maiores gastos na tabela da aba "Gráfico".</t>
        </r>
      </text>
    </comment>
    <comment ref="Y34" authorId="0" shapeId="0" xr:uid="{F9F79B11-82D1-422E-9E45-6F94E3524F5F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A coluna serve como parâmetro para a fórmula que determina a posição no ranking.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<sst xmlns="http://schemas.openxmlformats.org/spreadsheetml/2006/main" count="1843" uniqueCount="136">
  <si>
    <t>Meses</t>
  </si>
  <si>
    <t>Gastos</t>
  </si>
  <si>
    <t>Janeiro</t>
  </si>
  <si>
    <t>Fevereiro</t>
  </si>
  <si>
    <t>Produto</t>
  </si>
  <si>
    <t>Valor</t>
  </si>
  <si>
    <t>Contagem</t>
  </si>
  <si>
    <t>Março</t>
  </si>
  <si>
    <r>
      <rPr>
        <b/>
        <sz val="11"/>
        <color rgb="FF248EFF"/>
        <rFont val="Roboto"/>
      </rPr>
      <t>1º</t>
    </r>
    <r>
      <rPr>
        <sz val="11"/>
        <color theme="1"/>
        <rFont val="Roboto"/>
      </rPr>
      <t xml:space="preserve"> Lugar</t>
    </r>
  </si>
  <si>
    <t>Abril</t>
  </si>
  <si>
    <t>Roupas</t>
  </si>
  <si>
    <r>
      <rPr>
        <b/>
        <sz val="11"/>
        <color rgb="FF248EFF"/>
        <rFont val="Roboto"/>
      </rPr>
      <t>2º</t>
    </r>
    <r>
      <rPr>
        <sz val="11"/>
        <color theme="1"/>
        <rFont val="Roboto"/>
      </rPr>
      <t xml:space="preserve"> Lugar</t>
    </r>
  </si>
  <si>
    <t>Maio</t>
  </si>
  <si>
    <t>Mercado</t>
  </si>
  <si>
    <r>
      <rPr>
        <b/>
        <sz val="11"/>
        <color rgb="FF248EFF"/>
        <rFont val="Roboto"/>
      </rPr>
      <t>3</t>
    </r>
    <r>
      <rPr>
        <sz val="11"/>
        <color theme="1"/>
        <rFont val="Aptos Narrow"/>
        <family val="2"/>
        <scheme val="minor"/>
      </rPr>
      <t>º</t>
    </r>
    <r>
      <rPr>
        <sz val="11"/>
        <color theme="1"/>
        <rFont val="Roboto"/>
      </rPr>
      <t xml:space="preserve"> Lugar</t>
    </r>
  </si>
  <si>
    <t>Junho</t>
  </si>
  <si>
    <t>Alimentação</t>
  </si>
  <si>
    <r>
      <rPr>
        <b/>
        <sz val="11"/>
        <color rgb="FF248EFF"/>
        <rFont val="Roboto"/>
      </rPr>
      <t>4</t>
    </r>
    <r>
      <rPr>
        <sz val="11"/>
        <color theme="1"/>
        <rFont val="Aptos Narrow"/>
        <family val="2"/>
        <scheme val="minor"/>
      </rPr>
      <t>º</t>
    </r>
    <r>
      <rPr>
        <sz val="11"/>
        <color theme="1"/>
        <rFont val="Roboto"/>
      </rPr>
      <t xml:space="preserve"> Lugar</t>
    </r>
  </si>
  <si>
    <t>Julho</t>
  </si>
  <si>
    <t>Cosméticos</t>
  </si>
  <si>
    <r>
      <rPr>
        <b/>
        <sz val="11"/>
        <color rgb="FF248EFF"/>
        <rFont val="Roboto"/>
      </rPr>
      <t>5</t>
    </r>
    <r>
      <rPr>
        <sz val="11"/>
        <color theme="1"/>
        <rFont val="Aptos Narrow"/>
        <family val="2"/>
        <scheme val="minor"/>
      </rPr>
      <t>º</t>
    </r>
    <r>
      <rPr>
        <sz val="11"/>
        <color theme="1"/>
        <rFont val="Roboto"/>
      </rPr>
      <t xml:space="preserve"> Lugar</t>
    </r>
  </si>
  <si>
    <t>Agosto</t>
  </si>
  <si>
    <t>Tecnologia</t>
  </si>
  <si>
    <r>
      <rPr>
        <b/>
        <sz val="11"/>
        <color rgb="FF248EFF"/>
        <rFont val="Roboto"/>
      </rPr>
      <t>6</t>
    </r>
    <r>
      <rPr>
        <sz val="11"/>
        <color theme="1"/>
        <rFont val="Aptos Narrow"/>
        <family val="2"/>
        <scheme val="minor"/>
      </rPr>
      <t>º</t>
    </r>
    <r>
      <rPr>
        <sz val="11"/>
        <color theme="1"/>
        <rFont val="Roboto"/>
      </rPr>
      <t xml:space="preserve"> Lugar</t>
    </r>
  </si>
  <si>
    <t>Setembro</t>
  </si>
  <si>
    <t>Esporte</t>
  </si>
  <si>
    <r>
      <rPr>
        <b/>
        <sz val="11"/>
        <color rgb="FF248EFF"/>
        <rFont val="Roboto"/>
      </rPr>
      <t>7</t>
    </r>
    <r>
      <rPr>
        <sz val="11"/>
        <color theme="1"/>
        <rFont val="Aptos Narrow"/>
        <family val="2"/>
        <scheme val="minor"/>
      </rPr>
      <t>º</t>
    </r>
    <r>
      <rPr>
        <sz val="11"/>
        <color theme="1"/>
        <rFont val="Roboto"/>
      </rPr>
      <t xml:space="preserve"> Lugar</t>
    </r>
  </si>
  <si>
    <t>Outubro</t>
  </si>
  <si>
    <r>
      <rPr>
        <b/>
        <sz val="11"/>
        <color rgb="FF248EFF"/>
        <rFont val="Roboto"/>
      </rPr>
      <t>8</t>
    </r>
    <r>
      <rPr>
        <sz val="11"/>
        <color theme="1"/>
        <rFont val="Aptos Narrow"/>
        <family val="2"/>
        <scheme val="minor"/>
      </rPr>
      <t>º</t>
    </r>
    <r>
      <rPr>
        <sz val="11"/>
        <color theme="1"/>
        <rFont val="Roboto"/>
      </rPr>
      <t xml:space="preserve"> Lugar</t>
    </r>
  </si>
  <si>
    <t>Novembro</t>
  </si>
  <si>
    <t>Combustível</t>
  </si>
  <si>
    <r>
      <rPr>
        <b/>
        <sz val="11"/>
        <color rgb="FF248EFF"/>
        <rFont val="Roboto"/>
      </rPr>
      <t>9</t>
    </r>
    <r>
      <rPr>
        <sz val="11"/>
        <color theme="1"/>
        <rFont val="Aptos Narrow"/>
        <family val="2"/>
        <scheme val="minor"/>
      </rPr>
      <t>º</t>
    </r>
    <r>
      <rPr>
        <sz val="11"/>
        <color theme="1"/>
        <rFont val="Roboto"/>
      </rPr>
      <t xml:space="preserve"> Lugar</t>
    </r>
  </si>
  <si>
    <t>Dezembro</t>
  </si>
  <si>
    <t>Contas</t>
  </si>
  <si>
    <r>
      <rPr>
        <b/>
        <sz val="11"/>
        <color rgb="FF248EFF"/>
        <rFont val="Roboto"/>
      </rPr>
      <t>10</t>
    </r>
    <r>
      <rPr>
        <sz val="11"/>
        <color theme="1"/>
        <rFont val="Aptos Narrow"/>
        <family val="2"/>
        <scheme val="minor"/>
      </rPr>
      <t>º</t>
    </r>
    <r>
      <rPr>
        <sz val="11"/>
        <color theme="1"/>
        <rFont val="Roboto"/>
      </rPr>
      <t xml:space="preserve"> Lugar</t>
    </r>
  </si>
  <si>
    <t>January</t>
  </si>
  <si>
    <t>Investimentos</t>
  </si>
  <si>
    <r>
      <rPr>
        <b/>
        <sz val="11"/>
        <color rgb="FF248EFF"/>
        <rFont val="Roboto"/>
      </rPr>
      <t>11</t>
    </r>
    <r>
      <rPr>
        <sz val="11"/>
        <color theme="1"/>
        <rFont val="Aptos Narrow"/>
        <family val="2"/>
        <scheme val="minor"/>
      </rPr>
      <t>º</t>
    </r>
    <r>
      <rPr>
        <sz val="11"/>
        <color theme="1"/>
        <rFont val="Roboto"/>
      </rPr>
      <t xml:space="preserve"> Lugar</t>
    </r>
  </si>
  <si>
    <t>February</t>
  </si>
  <si>
    <t>Saúde</t>
  </si>
  <si>
    <r>
      <rPr>
        <b/>
        <sz val="11"/>
        <color rgb="FF248EFF"/>
        <rFont val="Roboto"/>
      </rPr>
      <t>12</t>
    </r>
    <r>
      <rPr>
        <sz val="11"/>
        <color theme="1"/>
        <rFont val="Aptos Narrow"/>
        <family val="2"/>
        <scheme val="minor"/>
      </rPr>
      <t>º</t>
    </r>
    <r>
      <rPr>
        <sz val="11"/>
        <color theme="1"/>
        <rFont val="Roboto"/>
      </rPr>
      <t xml:space="preserve"> Lugar</t>
    </r>
  </si>
  <si>
    <t>March</t>
  </si>
  <si>
    <t>Pets</t>
  </si>
  <si>
    <r>
      <rPr>
        <b/>
        <sz val="11"/>
        <color rgb="FF248EFF"/>
        <rFont val="Roboto"/>
      </rPr>
      <t>13</t>
    </r>
    <r>
      <rPr>
        <sz val="11"/>
        <color theme="1"/>
        <rFont val="Aptos Narrow"/>
        <family val="2"/>
        <scheme val="minor"/>
      </rPr>
      <t>º</t>
    </r>
    <r>
      <rPr>
        <sz val="11"/>
        <color theme="1"/>
        <rFont val="Roboto"/>
      </rPr>
      <t xml:space="preserve"> Lugar</t>
    </r>
  </si>
  <si>
    <t>April</t>
  </si>
  <si>
    <t>Estudos</t>
  </si>
  <si>
    <r>
      <rPr>
        <b/>
        <sz val="11"/>
        <color rgb="FF248EFF"/>
        <rFont val="Roboto"/>
      </rPr>
      <t>14</t>
    </r>
    <r>
      <rPr>
        <sz val="11"/>
        <color theme="1"/>
        <rFont val="Aptos Narrow"/>
        <family val="2"/>
        <scheme val="minor"/>
      </rPr>
      <t>º</t>
    </r>
    <r>
      <rPr>
        <sz val="11"/>
        <color theme="1"/>
        <rFont val="Roboto"/>
      </rPr>
      <t xml:space="preserve"> Lugar</t>
    </r>
  </si>
  <si>
    <t>May</t>
  </si>
  <si>
    <t>Barbearia</t>
  </si>
  <si>
    <r>
      <rPr>
        <b/>
        <sz val="11"/>
        <color rgb="FF248EFF"/>
        <rFont val="Roboto"/>
      </rPr>
      <t>15</t>
    </r>
    <r>
      <rPr>
        <sz val="11"/>
        <color theme="1"/>
        <rFont val="Aptos Narrow"/>
        <family val="2"/>
        <scheme val="minor"/>
      </rPr>
      <t>º</t>
    </r>
    <r>
      <rPr>
        <sz val="11"/>
        <color theme="1"/>
        <rFont val="Roboto"/>
      </rPr>
      <t xml:space="preserve"> Lugar</t>
    </r>
  </si>
  <si>
    <t>June</t>
  </si>
  <si>
    <t>Outros</t>
  </si>
  <si>
    <r>
      <rPr>
        <b/>
        <sz val="11"/>
        <color rgb="FF248EFF"/>
        <rFont val="Roboto"/>
      </rPr>
      <t>16</t>
    </r>
    <r>
      <rPr>
        <sz val="11"/>
        <color theme="1"/>
        <rFont val="Aptos Narrow"/>
        <family val="2"/>
        <scheme val="minor"/>
      </rPr>
      <t>º</t>
    </r>
    <r>
      <rPr>
        <sz val="11"/>
        <color theme="1"/>
        <rFont val="Roboto"/>
      </rPr>
      <t xml:space="preserve"> Lugar</t>
    </r>
  </si>
  <si>
    <t>July</t>
  </si>
  <si>
    <t>August</t>
  </si>
  <si>
    <t>September</t>
  </si>
  <si>
    <t>October</t>
  </si>
  <si>
    <t>November</t>
  </si>
  <si>
    <t>December</t>
  </si>
  <si>
    <t>Ano</t>
  </si>
  <si>
    <t>Meses2</t>
  </si>
  <si>
    <t>Parc.v</t>
  </si>
  <si>
    <t>Classificação</t>
  </si>
  <si>
    <t>Gasto</t>
  </si>
  <si>
    <t>Nome da aba atual</t>
  </si>
  <si>
    <t>ENTRADA:</t>
  </si>
  <si>
    <t>SOBRA</t>
  </si>
  <si>
    <t>Contas Mênsais</t>
  </si>
  <si>
    <t>Cartão de Crédito 1</t>
  </si>
  <si>
    <t>Nome do Produto</t>
  </si>
  <si>
    <t>Cartegoria</t>
  </si>
  <si>
    <t>Status</t>
  </si>
  <si>
    <t>Subtotal</t>
  </si>
  <si>
    <t>Parc.</t>
  </si>
  <si>
    <t>Qtd.</t>
  </si>
  <si>
    <t>Parc.Adiantada</t>
  </si>
  <si>
    <t>Total</t>
  </si>
  <si>
    <t>Débito</t>
  </si>
  <si>
    <t>Pagamento Realizado</t>
  </si>
  <si>
    <t>Cartão de Crédito 2</t>
  </si>
  <si>
    <t>Loja</t>
  </si>
  <si>
    <t>Tema da Planilha</t>
  </si>
  <si>
    <t>Personalize as Categorias de Despesas</t>
  </si>
  <si>
    <t>Bloco 1 Gráfico</t>
  </si>
  <si>
    <t>Maior Gasto</t>
  </si>
  <si>
    <t>Bloco 2 Gráfico</t>
  </si>
  <si>
    <t>Gráfico, blocos 1</t>
  </si>
  <si>
    <t>Gráfico, blocos 2</t>
  </si>
  <si>
    <t>Classificação.</t>
  </si>
  <si>
    <t>TOTAL GASTO</t>
  </si>
  <si>
    <t xml:space="preserve"> </t>
  </si>
  <si>
    <t>Menor Gasto</t>
  </si>
  <si>
    <t>Bloco 2</t>
  </si>
  <si>
    <t>Bloco 1</t>
  </si>
  <si>
    <t>Valor Único</t>
  </si>
  <si>
    <t>Categoria</t>
  </si>
  <si>
    <t>Assinatura</t>
  </si>
  <si>
    <t>Lazer</t>
  </si>
  <si>
    <t>Jogos</t>
  </si>
  <si>
    <t>Transporte</t>
  </si>
  <si>
    <t>Coluna 4</t>
  </si>
  <si>
    <t>Coluna 5</t>
  </si>
  <si>
    <t>Coluna 6</t>
  </si>
  <si>
    <t>Coluna 7</t>
  </si>
  <si>
    <t>Coluna 8</t>
  </si>
  <si>
    <t>Coluna 9</t>
  </si>
  <si>
    <t>Coluna 10</t>
  </si>
  <si>
    <t>Coluna 11</t>
  </si>
  <si>
    <t>Coluna 12</t>
  </si>
  <si>
    <t>Coluna 13</t>
  </si>
  <si>
    <t>Coluna 14</t>
  </si>
  <si>
    <t>Coluna 15</t>
  </si>
  <si>
    <t>Coluna 16</t>
  </si>
  <si>
    <t>Coluna 17</t>
  </si>
  <si>
    <t>Coluna 18</t>
  </si>
  <si>
    <t>Coluna 19</t>
  </si>
  <si>
    <t>Coluna 182</t>
  </si>
  <si>
    <t>Coluna 183</t>
  </si>
  <si>
    <t>Coluna 184</t>
  </si>
  <si>
    <t>Filtro</t>
  </si>
  <si>
    <t>Escuro</t>
  </si>
  <si>
    <r>
      <rPr>
        <b/>
        <sz val="11"/>
        <color rgb="FF248EFF"/>
        <rFont val="Roboto"/>
      </rPr>
      <t>17</t>
    </r>
    <r>
      <rPr>
        <sz val="11"/>
        <color theme="1"/>
        <rFont val="Aptos Narrow"/>
        <family val="2"/>
        <scheme val="minor"/>
      </rPr>
      <t>º</t>
    </r>
    <r>
      <rPr>
        <sz val="11"/>
        <color theme="1"/>
        <rFont val="Roboto"/>
      </rPr>
      <t xml:space="preserve"> Lugar</t>
    </r>
  </si>
  <si>
    <r>
      <rPr>
        <b/>
        <sz val="11"/>
        <color rgb="FF248EFF"/>
        <rFont val="Roboto"/>
      </rPr>
      <t>18</t>
    </r>
    <r>
      <rPr>
        <sz val="11"/>
        <color theme="1"/>
        <rFont val="Aptos Narrow"/>
        <family val="2"/>
        <scheme val="minor"/>
      </rPr>
      <t>º</t>
    </r>
    <r>
      <rPr>
        <sz val="11"/>
        <color theme="1"/>
        <rFont val="Roboto"/>
      </rPr>
      <t xml:space="preserve"> Lugar</t>
    </r>
  </si>
  <si>
    <t>Filtro de Ranking</t>
  </si>
  <si>
    <t>GASTO:</t>
  </si>
  <si>
    <t>Bloco 3 Gráfico</t>
  </si>
  <si>
    <t>Bloco 3</t>
  </si>
  <si>
    <t>Gasto Total</t>
  </si>
  <si>
    <t>Gráfico, blocos 3</t>
  </si>
  <si>
    <t>Gasto total 2025/2026</t>
  </si>
  <si>
    <t>Tanger Pai</t>
  </si>
  <si>
    <t>Muffato</t>
  </si>
  <si>
    <t>Tonin</t>
  </si>
  <si>
    <t>Gasto Pai</t>
  </si>
  <si>
    <t>Mercado Pago</t>
  </si>
  <si>
    <t>Nubank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</si>
</sst>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7" formatCode="&quot;R$&quot;\ #,##0.00;\-&quot;R$&quot;\ #,##0.00"/>
    <numFmt numFmtId="8" formatCode="&quot;R$&quot;\ #,##0.00;[Red]\-&quot;R$&quot;\ #,##0.00"/>
    <numFmt numFmtId="44" formatCode="_-&quot;R$&quot;\ * #,##0.00_-;\-&quot;R$&quot;\ * #,##0.00_-;_-&quot;R$&quot;\ * &quot;-&quot;??_-;_-@_-"/>
  </numFmts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theme="0"/>
      <name val="Roboto"/>
    </font>
    <font>
      <sz val="11"/>
      <color theme="1"/>
      <name val="Roboto"/>
    </font>
    <font>
      <sz val="11"/>
      <color theme="0"/>
      <name val="Roboto"/>
    </font>
    <font>
      <b/>
      <sz val="11"/>
      <color theme="1"/>
      <name val="Roboto"/>
    </font>
    <font>
      <sz val="11"/>
      <color theme="2" tint="-0.499984740745262"/>
      <name val="Roboto"/>
    </font>
    <font>
      <sz val="12"/>
      <name val="Roboto"/>
    </font>
    <font>
      <sz val="12"/>
      <color rgb="FF000000"/>
      <name val="Roboto"/>
    </font>
    <font>
      <b/>
      <sz val="12"/>
      <color rgb="FFFFFFFF"/>
      <name val="Roboto"/>
    </font>
    <font>
      <b/>
      <sz val="11"/>
      <color rgb="FF248EFF"/>
      <name val="Roboto"/>
    </font>
    <font>
      <sz val="14"/>
      <color rgb="FF666666"/>
      <name val="Calibri"/>
      <family val="2"/>
    </font>
    <font>
      <sz val="8"/>
      <name val="Aptos Narrow"/>
      <family val="2"/>
      <scheme val="minor"/>
    </font>
    <font>
      <sz val="12"/>
      <color theme="0"/>
      <name val="Arial"/>
      <family val="2"/>
    </font>
    <font>
      <sz val="14"/>
      <color rgb="FF666666"/>
      <name val="Calibri"/>
      <family val="2"/>
      <charset val="1"/>
    </font>
    <font>
      <sz val="12"/>
      <color theme="1"/>
      <name val="Roboto"/>
    </font>
    <font>
      <b/>
      <sz val="9"/>
      <color indexed="81"/>
      <name val="Segoe UI"/>
      <family val="2"/>
    </font>
    <font>
      <b/>
      <sz val="12"/>
      <color theme="1"/>
      <name val="Roboto"/>
    </font>
    <font>
      <b/>
      <sz val="11"/>
      <color theme="1" tint="4.9989318521683403E-2"/>
      <name val="Roboto"/>
    </font>
    <font>
      <sz val="11"/>
      <color theme="1" tint="4.9989318521683403E-2"/>
      <name val="Roboto"/>
    </font>
    <font>
      <sz val="9"/>
      <color indexed="81"/>
      <name val="Segoe UI"/>
      <family val="2"/>
    </font>
    <font>
      <sz val="14"/>
      <color rgb="FF666666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70A8E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248EFF"/>
        <bgColor indexed="64"/>
      </patternFill>
    </fill>
    <fill>
      <patternFill patternType="solid">
        <fgColor rgb="FFB7DCCE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6495ED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rgb="FFF5FFFA"/>
        <bgColor indexed="64"/>
      </patternFill>
    </fill>
    <fill>
      <patternFill patternType="solid">
        <fgColor rgb="FFE8F0E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5FFFA"/>
        <bgColor rgb="FF000000"/>
      </patternFill>
    </fill>
  </fills>
  <borders count="24">
    <border>
      <left/>
      <right/>
      <top/>
      <bottom/>
      <diagonal/>
    </border>
    <border>
      <left style="thin">
        <color rgb="FFD3D3D3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thin">
        <color theme="1" tint="0.499984740745262"/>
      </bottom>
      <diagonal/>
    </border>
    <border>
      <left style="medium">
        <color theme="0" tint="-0.14999847407452621"/>
      </left>
      <right style="medium">
        <color theme="0" tint="-0.14999847407452621"/>
      </right>
      <top/>
      <bottom style="thin">
        <color theme="1" tint="0.499984740745262"/>
      </bottom>
      <diagonal/>
    </border>
    <border>
      <left style="medium">
        <color theme="0" tint="-0.14999847407452621"/>
      </left>
      <right style="medium">
        <color theme="0" tint="-0.14999847407452621"/>
      </right>
      <top/>
      <bottom style="medium">
        <color theme="0" tint="-0.14999847407452621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 style="thin">
        <color rgb="FFD3D3D3"/>
      </left>
      <right/>
      <top/>
      <bottom/>
      <diagonal/>
    </border>
    <border>
      <left style="thin">
        <color rgb="FFD3D3D3"/>
      </left>
      <right style="thin">
        <color rgb="FFD3D3D3"/>
      </right>
      <top/>
      <bottom style="thin">
        <color rgb="FFD3D3D3"/>
      </bottom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2">
    <xf numFmtId="0" fontId="0" fillId="0" borderId="0" xfId="0"/>
    <xf numFmtId="0" fontId="0" fillId="2" borderId="0" xfId="0" applyFill="1"/>
    <xf numFmtId="0" fontId="4" fillId="0" borderId="4" xfId="0" applyFont="1" applyBorder="1"/>
    <xf numFmtId="0" fontId="4" fillId="0" borderId="4" xfId="0" applyFont="1" applyBorder="1" applyAlignment="1">
      <alignment horizontal="center" vertical="center"/>
    </xf>
    <xf numFmtId="0" fontId="6" fillId="4" borderId="4" xfId="0" applyFont="1" applyFill="1" applyBorder="1"/>
    <xf numFmtId="0" fontId="6" fillId="4" borderId="4" xfId="0" applyFont="1" applyFill="1" applyBorder="1" applyAlignment="1">
      <alignment horizontal="center" vertical="center"/>
    </xf>
    <xf numFmtId="44" fontId="4" fillId="0" borderId="4" xfId="1" applyFont="1" applyFill="1" applyBorder="1" applyAlignment="1">
      <alignment horizontal="center" vertical="center"/>
    </xf>
    <xf numFmtId="44" fontId="7" fillId="4" borderId="4" xfId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44" fontId="4" fillId="4" borderId="4" xfId="1" applyFont="1" applyFill="1" applyBorder="1" applyAlignment="1">
      <alignment horizontal="center" vertical="center"/>
    </xf>
    <xf numFmtId="0" fontId="4" fillId="3" borderId="0" xfId="0" applyFont="1" applyFill="1"/>
    <xf numFmtId="0" fontId="4" fillId="2" borderId="0" xfId="0" applyFont="1" applyFill="1"/>
    <xf numFmtId="44" fontId="4" fillId="3" borderId="4" xfId="1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/>
    </xf>
    <xf numFmtId="44" fontId="4" fillId="0" borderId="4" xfId="1" applyFont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7" borderId="4" xfId="0" applyFont="1" applyFill="1" applyBorder="1"/>
    <xf numFmtId="0" fontId="5" fillId="7" borderId="4" xfId="0" applyFont="1" applyFill="1" applyBorder="1" applyAlignment="1">
      <alignment vertical="top"/>
    </xf>
    <xf numFmtId="0" fontId="10" fillId="8" borderId="4" xfId="0" applyFont="1" applyFill="1" applyBorder="1" applyAlignment="1">
      <alignment horizontal="center" vertical="center"/>
    </xf>
    <xf numFmtId="44" fontId="4" fillId="0" borderId="4" xfId="1" applyFont="1" applyFill="1" applyBorder="1" applyAlignment="1" applyProtection="1">
      <alignment horizontal="center" vertical="center"/>
      <protection hidden="1"/>
    </xf>
    <xf numFmtId="44" fontId="4" fillId="0" borderId="4" xfId="0" applyNumberFormat="1" applyFont="1" applyBorder="1" applyProtection="1">
      <protection hidden="1"/>
    </xf>
    <xf numFmtId="44" fontId="4" fillId="0" borderId="4" xfId="1" applyFont="1" applyBorder="1" applyProtection="1">
      <protection hidden="1"/>
    </xf>
    <xf numFmtId="44" fontId="7" fillId="4" borderId="4" xfId="1" applyFont="1" applyFill="1" applyBorder="1" applyAlignment="1" applyProtection="1">
      <alignment horizontal="center" vertical="center"/>
      <protection hidden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0" borderId="4" xfId="0" applyFont="1" applyBorder="1" applyAlignment="1" applyProtection="1">
      <alignment horizontal="left" vertical="top"/>
      <protection hidden="1"/>
    </xf>
    <xf numFmtId="0" fontId="9" fillId="0" borderId="4" xfId="0" applyFont="1" applyBorder="1" applyAlignment="1" applyProtection="1">
      <alignment horizontal="center" vertical="center"/>
      <protection hidden="1"/>
    </xf>
    <xf numFmtId="0" fontId="4" fillId="12" borderId="0" xfId="0" applyFont="1" applyFill="1"/>
    <xf numFmtId="0" fontId="19" fillId="12" borderId="0" xfId="0" applyFont="1" applyFill="1" applyAlignment="1">
      <alignment vertical="center"/>
    </xf>
    <xf numFmtId="0" fontId="4" fillId="13" borderId="10" xfId="0" applyFont="1" applyFill="1" applyBorder="1" applyAlignment="1">
      <alignment vertical="center"/>
    </xf>
    <xf numFmtId="0" fontId="4" fillId="13" borderId="11" xfId="0" applyFont="1" applyFill="1" applyBorder="1" applyAlignment="1">
      <alignment vertical="center"/>
    </xf>
    <xf numFmtId="0" fontId="4" fillId="13" borderId="12" xfId="0" applyFont="1" applyFill="1" applyBorder="1" applyAlignment="1">
      <alignment vertical="center"/>
    </xf>
    <xf numFmtId="0" fontId="2" fillId="7" borderId="0" xfId="0" applyFont="1" applyFill="1" applyAlignment="1">
      <alignment horizontal="center" vertical="center"/>
    </xf>
    <xf numFmtId="0" fontId="2" fillId="7" borderId="0" xfId="0" applyFont="1" applyFill="1"/>
    <xf numFmtId="0" fontId="4" fillId="0" borderId="13" xfId="0" applyFont="1" applyBorder="1" applyAlignment="1">
      <alignment vertical="top"/>
    </xf>
    <xf numFmtId="0" fontId="2" fillId="5" borderId="13" xfId="0" applyFont="1" applyFill="1" applyBorder="1" applyAlignment="1">
      <alignment vertical="top"/>
    </xf>
    <xf numFmtId="0" fontId="18" fillId="12" borderId="0" xfId="0" applyFont="1" applyFill="1" applyAlignment="1">
      <alignment vertical="center"/>
    </xf>
    <xf numFmtId="0" fontId="10" fillId="15" borderId="4" xfId="0" applyFont="1" applyFill="1" applyBorder="1" applyAlignment="1">
      <alignment horizontal="center" vertical="center"/>
    </xf>
    <xf numFmtId="8" fontId="4" fillId="12" borderId="0" xfId="0" applyNumberFormat="1" applyFont="1" applyFill="1" applyProtection="1">
      <protection locked="0"/>
    </xf>
    <xf numFmtId="0" fontId="8" fillId="12" borderId="4" xfId="0" applyFont="1" applyFill="1" applyBorder="1" applyAlignment="1">
      <alignment horizontal="left" vertical="top"/>
    </xf>
    <xf numFmtId="12" fontId="9" fillId="12" borderId="4" xfId="0" applyNumberFormat="1" applyFont="1" applyFill="1" applyBorder="1" applyAlignment="1">
      <alignment horizontal="center" vertical="center"/>
    </xf>
    <xf numFmtId="8" fontId="9" fillId="12" borderId="4" xfId="0" applyNumberFormat="1" applyFont="1" applyFill="1" applyBorder="1" applyAlignment="1">
      <alignment horizontal="center" vertical="center"/>
    </xf>
    <xf numFmtId="0" fontId="8" fillId="12" borderId="6" xfId="0" applyFont="1" applyFill="1" applyBorder="1" applyAlignment="1">
      <alignment horizontal="left" vertical="top"/>
    </xf>
    <xf numFmtId="12" fontId="9" fillId="12" borderId="6" xfId="0" applyNumberFormat="1" applyFont="1" applyFill="1" applyBorder="1" applyAlignment="1">
      <alignment horizontal="center" vertical="center"/>
    </xf>
    <xf numFmtId="8" fontId="9" fillId="12" borderId="6" xfId="0" applyNumberFormat="1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left" vertical="top"/>
    </xf>
    <xf numFmtId="0" fontId="16" fillId="12" borderId="0" xfId="0" applyFont="1" applyFill="1" applyAlignment="1">
      <alignment horizontal="left" vertical="top"/>
    </xf>
    <xf numFmtId="12" fontId="16" fillId="12" borderId="0" xfId="0" applyNumberFormat="1" applyFont="1" applyFill="1" applyAlignment="1">
      <alignment horizontal="center" vertical="center"/>
    </xf>
    <xf numFmtId="8" fontId="16" fillId="12" borderId="0" xfId="0" applyNumberFormat="1" applyFont="1" applyFill="1" applyAlignment="1">
      <alignment horizontal="center" vertical="center"/>
    </xf>
    <xf numFmtId="8" fontId="9" fillId="12" borderId="1" xfId="0" applyNumberFormat="1" applyFont="1" applyFill="1" applyBorder="1" applyAlignment="1">
      <alignment horizontal="center" vertical="center"/>
    </xf>
    <xf numFmtId="0" fontId="4" fillId="12" borderId="0" xfId="0" applyFont="1" applyFill="1" applyProtection="1">
      <protection locked="0"/>
    </xf>
    <xf numFmtId="8" fontId="9" fillId="12" borderId="4" xfId="0" applyNumberFormat="1" applyFont="1" applyFill="1" applyBorder="1" applyAlignment="1" applyProtection="1">
      <alignment horizontal="center" vertical="center"/>
      <protection locked="0"/>
    </xf>
    <xf numFmtId="8" fontId="9" fillId="12" borderId="1" xfId="0" applyNumberFormat="1" applyFont="1" applyFill="1" applyBorder="1" applyAlignment="1" applyProtection="1">
      <alignment horizontal="center" vertical="center"/>
      <protection locked="0"/>
    </xf>
    <xf numFmtId="8" fontId="16" fillId="12" borderId="0" xfId="0" applyNumberFormat="1" applyFont="1" applyFill="1" applyAlignment="1" applyProtection="1">
      <alignment horizontal="center" vertical="center"/>
      <protection locked="0"/>
    </xf>
    <xf numFmtId="8" fontId="16" fillId="12" borderId="0" xfId="0" applyNumberFormat="1" applyFont="1" applyFill="1" applyAlignment="1" applyProtection="1">
      <alignment vertical="center"/>
      <protection locked="0"/>
    </xf>
    <xf numFmtId="0" fontId="0" fillId="12" borderId="0" xfId="0" applyFill="1"/>
    <xf numFmtId="44" fontId="12" fillId="11" borderId="5" xfId="1" applyFont="1" applyFill="1" applyBorder="1" applyAlignment="1" applyProtection="1">
      <alignment vertical="top" readingOrder="1"/>
      <protection hidden="1"/>
    </xf>
    <xf numFmtId="44" fontId="12" fillId="9" borderId="5" xfId="1" applyFont="1" applyFill="1" applyBorder="1" applyAlignment="1" applyProtection="1">
      <alignment vertical="top" readingOrder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8" fontId="0" fillId="0" borderId="0" xfId="0" applyNumberFormat="1" applyProtection="1">
      <protection hidden="1"/>
    </xf>
    <xf numFmtId="0" fontId="0" fillId="3" borderId="0" xfId="0" applyFill="1" applyProtection="1">
      <protection hidden="1"/>
    </xf>
    <xf numFmtId="0" fontId="2" fillId="3" borderId="0" xfId="0" applyFont="1" applyFill="1" applyAlignment="1" applyProtection="1">
      <alignment vertical="center"/>
      <protection hidden="1"/>
    </xf>
    <xf numFmtId="0" fontId="2" fillId="7" borderId="0" xfId="0" applyFont="1" applyFill="1" applyAlignment="1" applyProtection="1">
      <alignment horizontal="center" vertical="center"/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44" fontId="0" fillId="0" borderId="17" xfId="1" applyFont="1" applyBorder="1" applyAlignment="1" applyProtection="1">
      <alignment horizontal="center" vertical="center"/>
      <protection hidden="1"/>
    </xf>
    <xf numFmtId="0" fontId="4" fillId="0" borderId="4" xfId="0" applyFont="1" applyBorder="1" applyAlignment="1" applyProtection="1">
      <alignment horizontal="center" vertical="center"/>
      <protection hidden="1"/>
    </xf>
    <xf numFmtId="0" fontId="4" fillId="0" borderId="4" xfId="0" applyFont="1" applyBorder="1" applyProtection="1">
      <protection hidden="1"/>
    </xf>
    <xf numFmtId="0" fontId="2" fillId="2" borderId="13" xfId="0" applyFont="1" applyFill="1" applyBorder="1" applyAlignment="1" applyProtection="1">
      <alignment horizontal="center" vertical="center"/>
      <protection hidden="1"/>
    </xf>
    <xf numFmtId="0" fontId="0" fillId="14" borderId="13" xfId="0" applyFill="1" applyBorder="1" applyProtection="1">
      <protection hidden="1"/>
    </xf>
    <xf numFmtId="44" fontId="0" fillId="14" borderId="13" xfId="1" applyFont="1" applyFill="1" applyBorder="1" applyProtection="1">
      <protection hidden="1"/>
    </xf>
    <xf numFmtId="0" fontId="0" fillId="3" borderId="13" xfId="0" applyFill="1" applyBorder="1" applyProtection="1">
      <protection hidden="1"/>
    </xf>
    <xf numFmtId="44" fontId="0" fillId="3" borderId="13" xfId="1" applyFont="1" applyFill="1" applyBorder="1" applyProtection="1">
      <protection hidden="1"/>
    </xf>
    <xf numFmtId="44" fontId="0" fillId="0" borderId="0" xfId="0" applyNumberFormat="1" applyProtection="1">
      <protection hidden="1"/>
    </xf>
    <xf numFmtId="44" fontId="4" fillId="0" borderId="4" xfId="1" applyFont="1" applyBorder="1" applyAlignment="1" applyProtection="1">
      <alignment horizontal="center" vertical="center"/>
      <protection hidden="1"/>
    </xf>
    <xf numFmtId="0" fontId="2" fillId="7" borderId="13" xfId="0" applyFont="1" applyFill="1" applyBorder="1" applyProtection="1">
      <protection hidden="1"/>
    </xf>
    <xf numFmtId="44" fontId="2" fillId="7" borderId="13" xfId="0" applyNumberFormat="1" applyFont="1" applyFill="1" applyBorder="1" applyProtection="1">
      <protection hidden="1"/>
    </xf>
    <xf numFmtId="0" fontId="2" fillId="7" borderId="13" xfId="0" applyFont="1" applyFill="1" applyBorder="1" applyAlignment="1" applyProtection="1">
      <alignment horizontal="center"/>
      <protection hidden="1"/>
    </xf>
    <xf numFmtId="44" fontId="0" fillId="3" borderId="13" xfId="0" applyNumberFormat="1" applyFill="1" applyBorder="1" applyProtection="1">
      <protection hidden="1"/>
    </xf>
    <xf numFmtId="0" fontId="14" fillId="10" borderId="0" xfId="0" applyFont="1" applyFill="1" applyAlignment="1" applyProtection="1">
      <alignment horizontal="center" vertical="center" readingOrder="1"/>
      <protection hidden="1"/>
    </xf>
    <xf numFmtId="0" fontId="14" fillId="10" borderId="0" xfId="0" applyFont="1" applyFill="1" applyAlignment="1" applyProtection="1">
      <alignment vertical="top" readingOrder="1"/>
      <protection hidden="1"/>
    </xf>
    <xf numFmtId="0" fontId="12" fillId="11" borderId="5" xfId="0" applyFont="1" applyFill="1" applyBorder="1" applyAlignment="1" applyProtection="1">
      <alignment horizontal="center" vertical="center" readingOrder="1"/>
      <protection hidden="1"/>
    </xf>
    <xf numFmtId="17" fontId="15" fillId="11" borderId="5" xfId="0" applyNumberFormat="1" applyFont="1" applyFill="1" applyBorder="1" applyAlignment="1" applyProtection="1">
      <alignment horizontal="center" vertical="center" readingOrder="1"/>
      <protection hidden="1"/>
    </xf>
    <xf numFmtId="14" fontId="15" fillId="11" borderId="5" xfId="0" applyNumberFormat="1" applyFont="1" applyFill="1" applyBorder="1" applyAlignment="1" applyProtection="1">
      <alignment vertical="top" readingOrder="1"/>
      <protection hidden="1"/>
    </xf>
    <xf numFmtId="14" fontId="12" fillId="11" borderId="5" xfId="0" applyNumberFormat="1" applyFont="1" applyFill="1" applyBorder="1" applyAlignment="1" applyProtection="1">
      <alignment vertical="top" readingOrder="1"/>
      <protection hidden="1"/>
    </xf>
    <xf numFmtId="0" fontId="12" fillId="9" borderId="5" xfId="0" applyFont="1" applyFill="1" applyBorder="1" applyAlignment="1" applyProtection="1">
      <alignment horizontal="center" vertical="center" readingOrder="1"/>
      <protection hidden="1"/>
    </xf>
    <xf numFmtId="14" fontId="12" fillId="9" borderId="5" xfId="0" applyNumberFormat="1" applyFont="1" applyFill="1" applyBorder="1" applyAlignment="1" applyProtection="1">
      <alignment vertical="top" readingOrder="1"/>
      <protection hidden="1"/>
    </xf>
    <xf numFmtId="0" fontId="4" fillId="0" borderId="4" xfId="0" applyFont="1" applyBorder="1" applyProtection="1">
      <protection locked="0"/>
    </xf>
    <xf numFmtId="7" fontId="4" fillId="0" borderId="4" xfId="1" applyNumberFormat="1" applyFont="1" applyFill="1" applyBorder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4" fillId="0" borderId="4" xfId="1" applyNumberFormat="1" applyFont="1" applyFill="1" applyBorder="1" applyAlignment="1" applyProtection="1">
      <alignment horizontal="center" vertical="center"/>
      <protection locked="0"/>
    </xf>
    <xf numFmtId="8" fontId="4" fillId="0" borderId="4" xfId="1" applyNumberFormat="1" applyFont="1" applyFill="1" applyBorder="1" applyProtection="1">
      <protection locked="0"/>
    </xf>
    <xf numFmtId="44" fontId="4" fillId="0" borderId="4" xfId="1" applyFont="1" applyFill="1" applyBorder="1" applyProtection="1">
      <protection locked="0"/>
    </xf>
    <xf numFmtId="44" fontId="4" fillId="0" borderId="4" xfId="1" applyFont="1" applyBorder="1" applyProtection="1"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8" fontId="0" fillId="0" borderId="4" xfId="1" applyNumberFormat="1" applyFont="1" applyFill="1" applyBorder="1" applyProtection="1">
      <protection locked="0"/>
    </xf>
    <xf numFmtId="0" fontId="22" fillId="9" borderId="5" xfId="0" applyFont="1" applyFill="1" applyBorder="1" applyAlignment="1" applyProtection="1">
      <alignment horizontal="center" vertical="center" readingOrder="1"/>
      <protection hidden="1"/>
    </xf>
    <xf numFmtId="0" fontId="15" fillId="9" borderId="5" xfId="0" applyFont="1" applyFill="1" applyBorder="1" applyAlignment="1" applyProtection="1">
      <alignment horizontal="center" vertical="center" readingOrder="1"/>
      <protection hidden="1"/>
    </xf>
    <xf numFmtId="14" fontId="22" fillId="9" borderId="5" xfId="0" applyNumberFormat="1" applyFont="1" applyFill="1" applyBorder="1" applyAlignment="1" applyProtection="1">
      <alignment vertical="top" readingOrder="1"/>
      <protection hidden="1"/>
    </xf>
    <xf numFmtId="44" fontId="22" fillId="9" borderId="5" xfId="1" applyFont="1" applyFill="1" applyBorder="1" applyAlignment="1" applyProtection="1">
      <alignment vertical="top" readingOrder="1"/>
      <protection hidden="1"/>
    </xf>
    <xf numFmtId="0" fontId="6" fillId="4" borderId="5" xfId="0" applyFont="1" applyFill="1" applyBorder="1"/>
    <xf numFmtId="0" fontId="6" fillId="4" borderId="5" xfId="0" applyFont="1" applyFill="1" applyBorder="1" applyAlignment="1">
      <alignment horizontal="center" vertical="center"/>
    </xf>
    <xf numFmtId="0" fontId="4" fillId="0" borderId="5" xfId="0" applyFont="1" applyBorder="1" applyProtection="1">
      <protection locked="0"/>
    </xf>
    <xf numFmtId="0" fontId="5" fillId="7" borderId="5" xfId="0" applyFont="1" applyFill="1" applyBorder="1" applyAlignment="1">
      <alignment vertical="top"/>
    </xf>
    <xf numFmtId="44" fontId="9" fillId="0" borderId="4" xfId="1" applyFont="1" applyBorder="1" applyAlignment="1" applyProtection="1">
      <alignment horizontal="center" vertical="center"/>
      <protection hidden="1"/>
    </xf>
    <xf numFmtId="44" fontId="4" fillId="3" borderId="0" xfId="1" applyFont="1" applyFill="1"/>
    <xf numFmtId="0" fontId="6" fillId="4" borderId="22" xfId="0" applyFont="1" applyFill="1" applyBorder="1"/>
    <xf numFmtId="0" fontId="6" fillId="4" borderId="22" xfId="0" applyFont="1" applyFill="1" applyBorder="1" applyAlignment="1">
      <alignment horizontal="center" vertical="center"/>
    </xf>
    <xf numFmtId="44" fontId="0" fillId="0" borderId="0" xfId="1" applyFont="1" applyProtection="1">
      <protection hidden="1"/>
    </xf>
    <xf numFmtId="17" fontId="15" fillId="9" borderId="5" xfId="0" applyNumberFormat="1" applyFont="1" applyFill="1" applyBorder="1" applyAlignment="1" applyProtection="1">
      <alignment horizontal="center" vertical="center" readingOrder="1"/>
      <protection hidden="1"/>
    </xf>
    <xf numFmtId="0" fontId="2" fillId="7" borderId="18" xfId="0" applyFont="1" applyFill="1" applyBorder="1" applyAlignment="1" applyProtection="1">
      <alignment horizontal="center"/>
      <protection hidden="1"/>
    </xf>
    <xf numFmtId="0" fontId="2" fillId="7" borderId="23" xfId="0" applyFont="1" applyFill="1" applyBorder="1" applyAlignment="1" applyProtection="1">
      <alignment horizontal="center"/>
      <protection hidden="1"/>
    </xf>
    <xf numFmtId="0" fontId="2" fillId="7" borderId="19" xfId="0" applyFont="1" applyFill="1" applyBorder="1" applyAlignment="1" applyProtection="1">
      <alignment horizontal="center"/>
      <protection hidden="1"/>
    </xf>
    <xf numFmtId="0" fontId="2" fillId="7" borderId="14" xfId="0" applyFont="1" applyFill="1" applyBorder="1" applyAlignment="1" applyProtection="1">
      <alignment horizontal="center" vertical="center"/>
      <protection hidden="1"/>
    </xf>
    <xf numFmtId="0" fontId="2" fillId="7" borderId="15" xfId="0" applyFont="1" applyFill="1" applyBorder="1" applyAlignment="1" applyProtection="1">
      <alignment horizontal="center" vertical="center"/>
      <protection hidden="1"/>
    </xf>
    <xf numFmtId="0" fontId="2" fillId="7" borderId="20" xfId="0" applyFont="1" applyFill="1" applyBorder="1" applyAlignment="1" applyProtection="1">
      <alignment horizontal="center"/>
      <protection hidden="1"/>
    </xf>
    <xf numFmtId="0" fontId="2" fillId="7" borderId="17" xfId="0" applyFont="1" applyFill="1" applyBorder="1" applyAlignment="1" applyProtection="1">
      <alignment horizontal="center"/>
      <protection hidden="1"/>
    </xf>
    <xf numFmtId="0" fontId="19" fillId="12" borderId="0" xfId="0" applyFont="1" applyFill="1" applyAlignment="1">
      <alignment horizontal="left"/>
    </xf>
    <xf numFmtId="0" fontId="20" fillId="13" borderId="7" xfId="0" applyFont="1" applyFill="1" applyBorder="1" applyAlignment="1">
      <alignment horizontal="left" vertical="center"/>
    </xf>
    <xf numFmtId="0" fontId="20" fillId="13" borderId="8" xfId="0" applyFont="1" applyFill="1" applyBorder="1" applyAlignment="1">
      <alignment horizontal="left" vertical="center"/>
    </xf>
    <xf numFmtId="0" fontId="20" fillId="13" borderId="9" xfId="0" applyFont="1" applyFill="1" applyBorder="1" applyAlignment="1">
      <alignment horizontal="left" vertical="center"/>
    </xf>
    <xf numFmtId="0" fontId="3" fillId="12" borderId="0" xfId="0" applyFont="1" applyFill="1" applyAlignment="1">
      <alignment horizontal="center" vertical="center"/>
    </xf>
    <xf numFmtId="44" fontId="9" fillId="0" borderId="21" xfId="1" applyFont="1" applyBorder="1" applyAlignment="1" applyProtection="1">
      <alignment horizontal="center" vertical="center"/>
      <protection hidden="1"/>
    </xf>
    <xf numFmtId="44" fontId="9" fillId="0" borderId="0" xfId="1" applyFont="1" applyBorder="1" applyAlignment="1" applyProtection="1">
      <alignment horizontal="center" vertical="center"/>
      <protection hidden="1"/>
    </xf>
    <xf numFmtId="44" fontId="4" fillId="0" borderId="5" xfId="1" applyFont="1" applyFill="1" applyBorder="1" applyAlignment="1" applyProtection="1">
      <alignment horizontal="center"/>
      <protection locked="0"/>
    </xf>
    <xf numFmtId="44" fontId="4" fillId="4" borderId="5" xfId="1" applyFont="1" applyFill="1" applyBorder="1" applyAlignment="1" applyProtection="1">
      <alignment horizontal="center"/>
      <protection hidden="1"/>
    </xf>
    <xf numFmtId="0" fontId="10" fillId="8" borderId="21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44" fontId="5" fillId="7" borderId="1" xfId="1" applyFont="1" applyFill="1" applyBorder="1" applyAlignment="1" applyProtection="1">
      <alignment horizontal="center"/>
      <protection hidden="1"/>
    </xf>
    <xf numFmtId="44" fontId="5" fillId="7" borderId="2" xfId="1" applyFont="1" applyFill="1" applyBorder="1" applyAlignment="1" applyProtection="1">
      <alignment horizontal="center"/>
      <protection hidden="1"/>
    </xf>
    <xf numFmtId="44" fontId="7" fillId="4" borderId="2" xfId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44" fontId="7" fillId="4" borderId="3" xfId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7" borderId="1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 vertical="center"/>
    </xf>
    <xf numFmtId="44" fontId="4" fillId="4" borderId="1" xfId="0" applyNumberFormat="1" applyFont="1" applyFill="1" applyBorder="1" applyAlignment="1" applyProtection="1">
      <alignment horizontal="center"/>
      <protection hidden="1"/>
    </xf>
    <xf numFmtId="44" fontId="4" fillId="4" borderId="2" xfId="0" applyNumberFormat="1" applyFont="1" applyFill="1" applyBorder="1" applyAlignment="1" applyProtection="1">
      <alignment horizontal="center"/>
      <protection hidden="1"/>
    </xf>
    <xf numFmtId="44" fontId="4" fillId="4" borderId="3" xfId="0" applyNumberFormat="1" applyFont="1" applyFill="1" applyBorder="1" applyAlignment="1" applyProtection="1">
      <alignment horizontal="center"/>
      <protection hidden="1"/>
    </xf>
    <xf numFmtId="44" fontId="7" fillId="4" borderId="2" xfId="1" applyFont="1" applyFill="1" applyBorder="1" applyAlignment="1">
      <alignment horizontal="center" vertical="center"/>
    </xf>
    <xf numFmtId="44" fontId="7" fillId="4" borderId="3" xfId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928"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F08080"/>
        </patternFill>
      </fill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F7771"/>
        </patternFill>
      </fill>
    </dxf>
    <dxf>
      <font>
        <color rgb="FF757575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404040"/>
        </patternFill>
      </fill>
    </dxf>
    <dxf>
      <fill>
        <patternFill>
          <bgColor rgb="FF626262"/>
        </patternFill>
      </fill>
    </dxf>
    <dxf>
      <fill>
        <patternFill>
          <bgColor rgb="FF4A4A4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26262"/>
        </patternFill>
      </fill>
    </dxf>
    <dxf>
      <fill>
        <patternFill>
          <bgColor rgb="FF404040"/>
        </patternFill>
      </fill>
    </dxf>
    <dxf>
      <font>
        <color theme="0"/>
      </font>
    </dxf>
    <dxf>
      <fill>
        <patternFill>
          <bgColor rgb="FF4040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E5C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  <border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E5F1FF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rgb="FF70A8E0"/>
        </patternFill>
      </fill>
    </dxf>
    <dxf>
      <font>
        <color theme="1"/>
      </font>
      <fill>
        <patternFill>
          <bgColor rgb="FFA5AEB6"/>
        </patternFill>
      </fill>
    </dxf>
    <dxf>
      <fill>
        <patternFill>
          <bgColor rgb="FF62626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FFEBEE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ill>
        <patternFill>
          <bgColor rgb="FF4D4D4D"/>
        </patternFill>
      </fill>
      <border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08080"/>
        </patternFill>
      </fill>
    </dxf>
    <dxf>
      <fill>
        <patternFill>
          <bgColor rgb="FF4D4D4D"/>
        </patternFill>
      </fill>
      <border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626262"/>
        </patternFill>
      </fill>
    </dxf>
    <dxf>
      <font>
        <color theme="0"/>
      </font>
      <fill>
        <patternFill>
          <bgColor rgb="FF40404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numFmt numFmtId="19" formatCode="dd/mm/yyyy"/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charset val="1"/>
        <scheme val="none"/>
      </font>
      <numFmt numFmtId="0" formatCode="General"/>
      <fill>
        <patternFill patternType="solid">
          <fgColor rgb="FF000000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1" tint="0.499984740745262"/>
        </patternFill>
      </fill>
      <alignment horizontal="general" vertical="top" textRotation="0" wrapText="0" indent="0" justifyLastLine="0" shrinkToFit="0" readingOrder="1"/>
      <protection locked="1" hidden="1"/>
    </dxf>
    <dxf>
      <fill>
        <patternFill>
          <bgColor rgb="FF6495ED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626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626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404040"/>
        </patternFill>
      </fill>
    </dxf>
    <dxf>
      <fill>
        <patternFill>
          <bgColor theme="1" tint="0.24994659260841701"/>
        </patternFill>
      </fill>
    </dxf>
    <dxf>
      <fill>
        <patternFill>
          <bgColor rgb="FF6495ED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626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2" tint="-9.9948118533890809E-2"/>
      </font>
      <fill>
        <patternFill>
          <bgColor rgb="FF626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404040"/>
        </patternFill>
      </fill>
      <border>
        <left/>
        <right/>
        <top/>
        <bottom/>
      </border>
    </dxf>
    <dxf>
      <font>
        <b/>
        <i val="0"/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70A8E0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rgb="FF70A8E0"/>
        </patternFill>
      </fill>
      <border>
        <bottom style="thin">
          <color theme="4"/>
        </bottom>
        <vertical/>
        <horizontal/>
      </border>
    </dxf>
    <dxf>
      <font>
        <sz val="12"/>
        <color theme="1"/>
      </font>
      <fill>
        <patternFill>
          <bgColor rgb="FF70A8E0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2" defaultTableStyle="TableStyleMedium2" defaultPivotStyle="PivotStyleLight16">
    <tableStyle name="BlueLight" pivot="0" table="0" count="10" xr9:uid="{7132C18C-3AE6-479C-A467-ADC609984654}">
      <tableStyleElement type="wholeTable" dxfId="927"/>
      <tableStyleElement type="headerRow" dxfId="926"/>
    </tableStyle>
    <tableStyle name="SlicerStyleDark1 2" pivot="0" table="0" count="10" xr9:uid="{92621811-7403-41E0-A64C-E5BAD55C000A}">
      <tableStyleElement type="wholeTable" dxfId="925"/>
      <tableStyleElement type="headerRow" dxfId="924"/>
    </tableStyle>
  </tableStyles>
  <colors>
    <mruColors>
      <color rgb="FF6495ED"/>
      <color rgb="FF6D98DF"/>
      <color rgb="FF1E90FF"/>
      <color rgb="FFA0C4FF"/>
      <color rgb="FF626262"/>
      <color rgb="FFE183A6"/>
      <color rgb="FF81C19F"/>
      <color rgb="FFF08080"/>
      <color rgb="FF000000"/>
      <color rgb="FF5F95ED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4" tint="0.59999389629810485"/>
              <bgColor rgb="FFDFDFDF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4"/>
              <bgColor rgb="FFAACBE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777777"/>
          </font>
          <fill>
            <patternFill patternType="solid">
              <fgColor rgb="FFC0C0C0"/>
              <bgColor rgb="FFC5F0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89013336588644"/>
              <bgColor rgb="FFE3EEF9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rgb="FFAACBEC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3EEF9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BlueLight">
        <x14:slicerStyle name="BlueLight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Dark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7/relationships/slicerCache" Target="slicerCaches/slicerCache1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22/11/relationships/FeaturePropertyBag" Target="featurePropertyBag/featurePropertyBag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5232815541241"/>
          <c:y val="0.1882352069313539"/>
          <c:w val="0.83950241779085966"/>
          <c:h val="0.66474494453684829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233-4907-A465-A6ACC15DC9A7}"/>
              </c:ext>
            </c:extLst>
          </c:dPt>
          <c:dPt>
            <c:idx val="1"/>
            <c:invertIfNegative val="0"/>
            <c:bubble3D val="0"/>
            <c:spPr>
              <a:solidFill>
                <a:srgbClr val="6D98DF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6233-4907-A465-A6ACC15DC9A7}"/>
              </c:ext>
            </c:extLst>
          </c:dPt>
          <c:dPt>
            <c:idx val="2"/>
            <c:invertIfNegative val="0"/>
            <c:bubble3D val="0"/>
            <c:spPr>
              <a:solidFill>
                <a:srgbClr val="1E90FF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9E6E-4C1E-8656-C814844CA773}"/>
              </c:ext>
            </c:extLst>
          </c:dPt>
          <c:dLbls>
            <c:delete val="1"/>
          </c:dLbls>
          <c:cat>
            <c:strRef>
              <c:f>(Dados!$B$3,Dados!$B$6,Dados!$B$9)</c:f>
              <c:strCache>
                <c:ptCount val="3"/>
                <c:pt idx="0">
                  <c:v>Pets</c:v>
                </c:pt>
                <c:pt idx="1">
                  <c:v>Sem Registro</c:v>
                </c:pt>
                <c:pt idx="2">
                  <c:v>Saúde</c:v>
                </c:pt>
              </c:strCache>
            </c:strRef>
          </c:cat>
          <c:val>
            <c:numRef>
              <c:f>(Dados!$C$3,Dados!$C$6,Dados!$C$9)</c:f>
              <c:numCache>
                <c:formatCode>_("R$"* #,##0.00_);_("R$"* \(#,##0.00\);_("R$"*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33-4907-A465-A6ACC15DC9A7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</c:dLbls>
        <c:gapWidth val="100"/>
        <c:axId val="1740434032"/>
        <c:axId val="1740422992"/>
      </c:barChart>
      <c:catAx>
        <c:axId val="1740434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0422992"/>
        <c:crosses val="autoZero"/>
        <c:auto val="1"/>
        <c:lblAlgn val="ctr"/>
        <c:lblOffset val="100"/>
        <c:noMultiLvlLbl val="0"/>
      </c:catAx>
      <c:valAx>
        <c:axId val="1740422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043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5183949151101029"/>
          <c:y val="1.8382112838298825E-2"/>
          <c:w val="0.31579921599582889"/>
          <c:h val="0.113503421258257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2025</c:v>
          </c:tx>
          <c:spPr>
            <a:solidFill>
              <a:srgbClr val="6495ED"/>
            </a:solidFill>
            <a:ln>
              <a:noFill/>
            </a:ln>
            <a:effectLst/>
          </c:spPr>
          <c:invertIfNegative val="0"/>
          <c:cat>
            <c:strRef>
              <c:f>Dados!$I$7:$I$18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Dados!$J$7:$J$18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04-462C-9A37-283E40ED1A49}"/>
            </c:ext>
          </c:extLst>
        </c:ser>
        <c:ser>
          <c:idx val="1"/>
          <c:order val="1"/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Dados!$I$7:$I$18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Dados!$L$7:$L$18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04-462C-9A37-283E40ED1A49}"/>
            </c:ext>
          </c:extLst>
        </c:ser>
        <c:ser>
          <c:idx val="2"/>
          <c:order val="2"/>
          <c:tx>
            <c:v>2026</c:v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Dados!$I$7:$I$18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Dados!$M$7:$M$18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04-462C-9A37-283E40ED1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484063200"/>
        <c:axId val="1484064640"/>
      </c:barChart>
      <c:catAx>
        <c:axId val="148406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4064640"/>
        <c:crosses val="autoZero"/>
        <c:auto val="1"/>
        <c:lblAlgn val="ctr"/>
        <c:lblOffset val="100"/>
        <c:noMultiLvlLbl val="0"/>
      </c:catAx>
      <c:valAx>
        <c:axId val="148406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406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_xlchart.v2.1</cx:f>
      </cx:numDim>
    </cx:data>
  </cx:chartData>
  <cx:chart>
    <cx:title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pt-BR" sz="1800" b="1" i="0" u="none" strike="noStrike" baseline="0">
            <a:solidFill>
              <a:sysClr val="windowText" lastClr="000000">
                <a:lumMod val="75000"/>
                <a:lumOff val="25000"/>
              </a:sysClr>
            </a:solidFill>
            <a:latin typeface="Aptos Narrow" panose="02110004020202020204"/>
          </a:endParaRPr>
        </a:p>
      </cx:txPr>
    </cx:title>
    <cx:plotArea>
      <cx:plotAreaRegion>
        <cx:series layoutId="funnel" uniqueId="{E9C0DBA3-C4E7-4BC1-A289-9FCF7824153E}" formatIdx="0">
          <cx:spPr>
            <a:solidFill>
              <a:srgbClr val="6495ED"/>
            </a:solidFill>
          </cx:spPr>
          <cx:dataLabels>
            <cx:visibility seriesName="0" categoryName="0" value="1"/>
          </cx:dataLabels>
          <cx:dataId val="0"/>
          <cx:layoutPr/>
        </cx:series>
      </cx:plotAreaRegion>
      <cx:axis id="0" hidden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</a:defRPr>
            </a:pPr>
            <a:endParaRPr lang="pt-BR" sz="900" b="0" i="0" u="none" strike="noStrike" baseline="0">
              <a:solidFill>
                <a:schemeClr val="tx1"/>
              </a:solidFill>
              <a:latin typeface="Aptos Narrow" panose="02110004020202020204"/>
            </a:endParaRPr>
          </a:p>
        </cx:txPr>
      </cx:axis>
      <cx:axis id="1">
        <cx:catScaling gapWidth="0.150000006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</a:defRPr>
            </a:pPr>
            <a:endParaRPr lang="pt-BR" sz="900" b="0" i="0" u="none" strike="noStrike" baseline="0">
              <a:solidFill>
                <a:schemeClr val="tx1"/>
              </a:solidFill>
              <a:latin typeface="Aptos Narrow" panose="02110004020202020204"/>
            </a:endParaRPr>
          </a:p>
        </cx:tx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2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Gr&#225;fico!A1"/><Relationship Id="rId2" Type="http://schemas.openxmlformats.org/officeDocument/2006/relationships/image" Target="../media/image1.png"/><Relationship Id="rId1" Type="http://schemas.openxmlformats.org/officeDocument/2006/relationships/hyperlink" Target="#Janeiro!A1"/><Relationship Id="rId6" Type="http://schemas.openxmlformats.org/officeDocument/2006/relationships/image" Target="../media/image4.png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13" Type="http://schemas.openxmlformats.org/officeDocument/2006/relationships/hyperlink" Target="#Personaliza&#231;&#227;o!A1"/><Relationship Id="rId3" Type="http://schemas.openxmlformats.org/officeDocument/2006/relationships/chart" Target="../charts/chart1.xml"/><Relationship Id="rId7" Type="http://schemas.openxmlformats.org/officeDocument/2006/relationships/image" Target="../media/image8.png"/><Relationship Id="rId12" Type="http://schemas.openxmlformats.org/officeDocument/2006/relationships/image" Target="../media/image12.png"/><Relationship Id="rId2" Type="http://schemas.openxmlformats.org/officeDocument/2006/relationships/image" Target="../media/image5.png"/><Relationship Id="rId1" Type="http://schemas.openxmlformats.org/officeDocument/2006/relationships/hyperlink" Target="#Gr&#225;fico!A1"/><Relationship Id="rId6" Type="http://schemas.openxmlformats.org/officeDocument/2006/relationships/image" Target="../media/image7.svg"/><Relationship Id="rId11" Type="http://schemas.openxmlformats.org/officeDocument/2006/relationships/hyperlink" Target="#Janeiro!A1"/><Relationship Id="rId5" Type="http://schemas.openxmlformats.org/officeDocument/2006/relationships/image" Target="../media/image6.png"/><Relationship Id="rId15" Type="http://schemas.openxmlformats.org/officeDocument/2006/relationships/chart" Target="../charts/chart2.xml"/><Relationship Id="rId10" Type="http://schemas.openxmlformats.org/officeDocument/2006/relationships/image" Target="../media/image11.svg"/><Relationship Id="rId4" Type="http://schemas.microsoft.com/office/2014/relationships/chartEx" Target="../charts/chartEx1.xml"/><Relationship Id="rId9" Type="http://schemas.openxmlformats.org/officeDocument/2006/relationships/image" Target="../media/image10.png"/><Relationship Id="rId1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bril!A1"/><Relationship Id="rId13" Type="http://schemas.openxmlformats.org/officeDocument/2006/relationships/hyperlink" Target="#Dezembro!A1"/><Relationship Id="rId18" Type="http://schemas.openxmlformats.org/officeDocument/2006/relationships/image" Target="../media/image13.png"/><Relationship Id="rId3" Type="http://schemas.openxmlformats.org/officeDocument/2006/relationships/hyperlink" Target="#Julho!A1"/><Relationship Id="rId21" Type="http://schemas.openxmlformats.org/officeDocument/2006/relationships/image" Target="../media/image16.svg"/><Relationship Id="rId7" Type="http://schemas.openxmlformats.org/officeDocument/2006/relationships/hyperlink" Target="#Setembro!A1"/><Relationship Id="rId12" Type="http://schemas.openxmlformats.org/officeDocument/2006/relationships/hyperlink" Target="#Junho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&#231;o!A1"/><Relationship Id="rId11" Type="http://schemas.openxmlformats.org/officeDocument/2006/relationships/hyperlink" Target="#Novembro!A1"/><Relationship Id="rId5" Type="http://schemas.openxmlformats.org/officeDocument/2006/relationships/hyperlink" Target="#Agosto!A1"/><Relationship Id="rId15" Type="http://schemas.openxmlformats.org/officeDocument/2006/relationships/image" Target="../media/image15.svg"/><Relationship Id="rId10" Type="http://schemas.openxmlformats.org/officeDocument/2006/relationships/hyperlink" Target="#Maio!A1"/><Relationship Id="rId19" Type="http://schemas.openxmlformats.org/officeDocument/2006/relationships/hyperlink" Target="#Gr&#225;fico!A1"/><Relationship Id="rId4" Type="http://schemas.openxmlformats.org/officeDocument/2006/relationships/hyperlink" Target="#Fevereiro!A1"/><Relationship Id="rId9" Type="http://schemas.openxmlformats.org/officeDocument/2006/relationships/hyperlink" Target="#Outubro!A1"/><Relationship Id="rId14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bril!A1"/><Relationship Id="rId13" Type="http://schemas.openxmlformats.org/officeDocument/2006/relationships/hyperlink" Target="#Dezembro!A1"/><Relationship Id="rId18" Type="http://schemas.openxmlformats.org/officeDocument/2006/relationships/image" Target="../media/image13.png"/><Relationship Id="rId3" Type="http://schemas.openxmlformats.org/officeDocument/2006/relationships/hyperlink" Target="#Julho!A1"/><Relationship Id="rId21" Type="http://schemas.openxmlformats.org/officeDocument/2006/relationships/image" Target="../media/image3.svg"/><Relationship Id="rId7" Type="http://schemas.openxmlformats.org/officeDocument/2006/relationships/hyperlink" Target="#Setembro!A1"/><Relationship Id="rId12" Type="http://schemas.openxmlformats.org/officeDocument/2006/relationships/hyperlink" Target="#Junho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&#231;o!A1"/><Relationship Id="rId11" Type="http://schemas.openxmlformats.org/officeDocument/2006/relationships/hyperlink" Target="#Novembro!A1"/><Relationship Id="rId5" Type="http://schemas.openxmlformats.org/officeDocument/2006/relationships/hyperlink" Target="#Agosto!A1"/><Relationship Id="rId15" Type="http://schemas.openxmlformats.org/officeDocument/2006/relationships/image" Target="../media/image15.svg"/><Relationship Id="rId10" Type="http://schemas.openxmlformats.org/officeDocument/2006/relationships/hyperlink" Target="#Maio!A1"/><Relationship Id="rId19" Type="http://schemas.openxmlformats.org/officeDocument/2006/relationships/hyperlink" Target="#Gr&#225;fico!A1"/><Relationship Id="rId4" Type="http://schemas.openxmlformats.org/officeDocument/2006/relationships/hyperlink" Target="#Fevereiro!A1"/><Relationship Id="rId9" Type="http://schemas.openxmlformats.org/officeDocument/2006/relationships/hyperlink" Target="#Outubro!A1"/><Relationship Id="rId14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Abril!A1"/><Relationship Id="rId13" Type="http://schemas.openxmlformats.org/officeDocument/2006/relationships/hyperlink" Target="#Dezembro!A1"/><Relationship Id="rId18" Type="http://schemas.openxmlformats.org/officeDocument/2006/relationships/image" Target="../media/image13.png"/><Relationship Id="rId3" Type="http://schemas.openxmlformats.org/officeDocument/2006/relationships/hyperlink" Target="#Julho!A1"/><Relationship Id="rId21" Type="http://schemas.openxmlformats.org/officeDocument/2006/relationships/image" Target="../media/image3.svg"/><Relationship Id="rId7" Type="http://schemas.openxmlformats.org/officeDocument/2006/relationships/hyperlink" Target="#Setembro!A1"/><Relationship Id="rId12" Type="http://schemas.openxmlformats.org/officeDocument/2006/relationships/hyperlink" Target="#Junho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&#231;o!A1"/><Relationship Id="rId11" Type="http://schemas.openxmlformats.org/officeDocument/2006/relationships/hyperlink" Target="#Novembro!A1"/><Relationship Id="rId5" Type="http://schemas.openxmlformats.org/officeDocument/2006/relationships/hyperlink" Target="#Agosto!A1"/><Relationship Id="rId15" Type="http://schemas.openxmlformats.org/officeDocument/2006/relationships/image" Target="../media/image15.svg"/><Relationship Id="rId10" Type="http://schemas.openxmlformats.org/officeDocument/2006/relationships/hyperlink" Target="#Maio!A1"/><Relationship Id="rId19" Type="http://schemas.openxmlformats.org/officeDocument/2006/relationships/hyperlink" Target="#Gr&#225;fico!A1"/><Relationship Id="rId4" Type="http://schemas.openxmlformats.org/officeDocument/2006/relationships/hyperlink" Target="#Fevereiro!A1"/><Relationship Id="rId9" Type="http://schemas.openxmlformats.org/officeDocument/2006/relationships/hyperlink" Target="#Outubro!A1"/><Relationship Id="rId14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bril!A1"/><Relationship Id="rId13" Type="http://schemas.openxmlformats.org/officeDocument/2006/relationships/hyperlink" Target="#Dezembro!A1"/><Relationship Id="rId18" Type="http://schemas.openxmlformats.org/officeDocument/2006/relationships/image" Target="../media/image13.png"/><Relationship Id="rId3" Type="http://schemas.openxmlformats.org/officeDocument/2006/relationships/hyperlink" Target="#Julho!A1"/><Relationship Id="rId21" Type="http://schemas.openxmlformats.org/officeDocument/2006/relationships/image" Target="../media/image3.svg"/><Relationship Id="rId7" Type="http://schemas.openxmlformats.org/officeDocument/2006/relationships/hyperlink" Target="#Setembro!A1"/><Relationship Id="rId12" Type="http://schemas.openxmlformats.org/officeDocument/2006/relationships/hyperlink" Target="#Junho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&#231;o!A1"/><Relationship Id="rId11" Type="http://schemas.openxmlformats.org/officeDocument/2006/relationships/hyperlink" Target="#Novembro!A1"/><Relationship Id="rId5" Type="http://schemas.openxmlformats.org/officeDocument/2006/relationships/hyperlink" Target="#Agosto!A1"/><Relationship Id="rId15" Type="http://schemas.openxmlformats.org/officeDocument/2006/relationships/image" Target="../media/image15.svg"/><Relationship Id="rId10" Type="http://schemas.openxmlformats.org/officeDocument/2006/relationships/hyperlink" Target="#Maio!A1"/><Relationship Id="rId19" Type="http://schemas.openxmlformats.org/officeDocument/2006/relationships/hyperlink" Target="#Gr&#225;fico!A1"/><Relationship Id="rId4" Type="http://schemas.openxmlformats.org/officeDocument/2006/relationships/hyperlink" Target="#Fevereiro!A1"/><Relationship Id="rId9" Type="http://schemas.openxmlformats.org/officeDocument/2006/relationships/hyperlink" Target="#Outubro!A1"/><Relationship Id="rId14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Abril!A1"/><Relationship Id="rId13" Type="http://schemas.openxmlformats.org/officeDocument/2006/relationships/hyperlink" Target="#Dezembro!A1"/><Relationship Id="rId18" Type="http://schemas.openxmlformats.org/officeDocument/2006/relationships/image" Target="../media/image13.png"/><Relationship Id="rId3" Type="http://schemas.openxmlformats.org/officeDocument/2006/relationships/hyperlink" Target="#Julho!A1"/><Relationship Id="rId21" Type="http://schemas.openxmlformats.org/officeDocument/2006/relationships/image" Target="../media/image3.svg"/><Relationship Id="rId7" Type="http://schemas.openxmlformats.org/officeDocument/2006/relationships/hyperlink" Target="#Setembro!A1"/><Relationship Id="rId12" Type="http://schemas.openxmlformats.org/officeDocument/2006/relationships/hyperlink" Target="#Junho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&#231;o!A1"/><Relationship Id="rId11" Type="http://schemas.openxmlformats.org/officeDocument/2006/relationships/hyperlink" Target="#Novembro!A1"/><Relationship Id="rId5" Type="http://schemas.openxmlformats.org/officeDocument/2006/relationships/hyperlink" Target="#Agosto!A1"/><Relationship Id="rId15" Type="http://schemas.openxmlformats.org/officeDocument/2006/relationships/image" Target="../media/image15.svg"/><Relationship Id="rId10" Type="http://schemas.openxmlformats.org/officeDocument/2006/relationships/hyperlink" Target="#Maio!A1"/><Relationship Id="rId19" Type="http://schemas.openxmlformats.org/officeDocument/2006/relationships/hyperlink" Target="#Gr&#225;fico!A1"/><Relationship Id="rId4" Type="http://schemas.openxmlformats.org/officeDocument/2006/relationships/hyperlink" Target="#Fevereiro!A1"/><Relationship Id="rId9" Type="http://schemas.openxmlformats.org/officeDocument/2006/relationships/hyperlink" Target="#Outubro!A1"/><Relationship Id="rId14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Abril!A1"/><Relationship Id="rId13" Type="http://schemas.openxmlformats.org/officeDocument/2006/relationships/hyperlink" Target="#Dezembro!A1"/><Relationship Id="rId18" Type="http://schemas.openxmlformats.org/officeDocument/2006/relationships/image" Target="../media/image13.png"/><Relationship Id="rId3" Type="http://schemas.openxmlformats.org/officeDocument/2006/relationships/hyperlink" Target="#Julho!A1"/><Relationship Id="rId21" Type="http://schemas.openxmlformats.org/officeDocument/2006/relationships/image" Target="../media/image3.svg"/><Relationship Id="rId7" Type="http://schemas.openxmlformats.org/officeDocument/2006/relationships/hyperlink" Target="#Setembro!A1"/><Relationship Id="rId12" Type="http://schemas.openxmlformats.org/officeDocument/2006/relationships/hyperlink" Target="#Junho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&#231;o!A1"/><Relationship Id="rId11" Type="http://schemas.openxmlformats.org/officeDocument/2006/relationships/hyperlink" Target="#Novembro!A1"/><Relationship Id="rId5" Type="http://schemas.openxmlformats.org/officeDocument/2006/relationships/hyperlink" Target="#Agosto!A1"/><Relationship Id="rId15" Type="http://schemas.openxmlformats.org/officeDocument/2006/relationships/image" Target="../media/image15.svg"/><Relationship Id="rId10" Type="http://schemas.openxmlformats.org/officeDocument/2006/relationships/hyperlink" Target="#Maio!A1"/><Relationship Id="rId19" Type="http://schemas.openxmlformats.org/officeDocument/2006/relationships/hyperlink" Target="#Gr&#225;fico!A1"/><Relationship Id="rId4" Type="http://schemas.openxmlformats.org/officeDocument/2006/relationships/hyperlink" Target="#Fevereiro!A1"/><Relationship Id="rId9" Type="http://schemas.openxmlformats.org/officeDocument/2006/relationships/hyperlink" Target="#Outubro!A1"/><Relationship Id="rId14" Type="http://schemas.openxmlformats.org/officeDocument/2006/relationships/image" Target="../media/image14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Abril!A1"/><Relationship Id="rId13" Type="http://schemas.openxmlformats.org/officeDocument/2006/relationships/hyperlink" Target="#Dezembro!A1"/><Relationship Id="rId18" Type="http://schemas.openxmlformats.org/officeDocument/2006/relationships/image" Target="../media/image13.png"/><Relationship Id="rId3" Type="http://schemas.openxmlformats.org/officeDocument/2006/relationships/hyperlink" Target="#Julho!A1"/><Relationship Id="rId21" Type="http://schemas.openxmlformats.org/officeDocument/2006/relationships/image" Target="../media/image3.svg"/><Relationship Id="rId7" Type="http://schemas.openxmlformats.org/officeDocument/2006/relationships/hyperlink" Target="#Setembro!A1"/><Relationship Id="rId12" Type="http://schemas.openxmlformats.org/officeDocument/2006/relationships/hyperlink" Target="#Junho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&#231;o!A1"/><Relationship Id="rId11" Type="http://schemas.openxmlformats.org/officeDocument/2006/relationships/hyperlink" Target="#Novembro!A1"/><Relationship Id="rId5" Type="http://schemas.openxmlformats.org/officeDocument/2006/relationships/hyperlink" Target="#Agosto!A1"/><Relationship Id="rId15" Type="http://schemas.openxmlformats.org/officeDocument/2006/relationships/image" Target="../media/image15.svg"/><Relationship Id="rId10" Type="http://schemas.openxmlformats.org/officeDocument/2006/relationships/hyperlink" Target="#Maio!A1"/><Relationship Id="rId19" Type="http://schemas.openxmlformats.org/officeDocument/2006/relationships/hyperlink" Target="#Gr&#225;fico!A1"/><Relationship Id="rId4" Type="http://schemas.openxmlformats.org/officeDocument/2006/relationships/hyperlink" Target="#Fevereiro!A1"/><Relationship Id="rId9" Type="http://schemas.openxmlformats.org/officeDocument/2006/relationships/hyperlink" Target="#Outubro!A1"/><Relationship Id="rId14" Type="http://schemas.openxmlformats.org/officeDocument/2006/relationships/image" Target="../media/image14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Abril!A1"/><Relationship Id="rId13" Type="http://schemas.openxmlformats.org/officeDocument/2006/relationships/hyperlink" Target="#Dezembro!A1"/><Relationship Id="rId18" Type="http://schemas.openxmlformats.org/officeDocument/2006/relationships/image" Target="../media/image13.png"/><Relationship Id="rId3" Type="http://schemas.openxmlformats.org/officeDocument/2006/relationships/hyperlink" Target="#Julho!A1"/><Relationship Id="rId21" Type="http://schemas.openxmlformats.org/officeDocument/2006/relationships/image" Target="../media/image3.svg"/><Relationship Id="rId7" Type="http://schemas.openxmlformats.org/officeDocument/2006/relationships/hyperlink" Target="#Setembro!A1"/><Relationship Id="rId12" Type="http://schemas.openxmlformats.org/officeDocument/2006/relationships/hyperlink" Target="#Junho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&#231;o!A1"/><Relationship Id="rId11" Type="http://schemas.openxmlformats.org/officeDocument/2006/relationships/hyperlink" Target="#Novembro!A1"/><Relationship Id="rId5" Type="http://schemas.openxmlformats.org/officeDocument/2006/relationships/hyperlink" Target="#Agosto!A1"/><Relationship Id="rId15" Type="http://schemas.openxmlformats.org/officeDocument/2006/relationships/image" Target="../media/image15.svg"/><Relationship Id="rId10" Type="http://schemas.openxmlformats.org/officeDocument/2006/relationships/hyperlink" Target="#Maio!A1"/><Relationship Id="rId19" Type="http://schemas.openxmlformats.org/officeDocument/2006/relationships/hyperlink" Target="#Gr&#225;fico!A1"/><Relationship Id="rId4" Type="http://schemas.openxmlformats.org/officeDocument/2006/relationships/hyperlink" Target="#Fevereiro!A1"/><Relationship Id="rId9" Type="http://schemas.openxmlformats.org/officeDocument/2006/relationships/hyperlink" Target="#Outubro!A1"/><Relationship Id="rId14" Type="http://schemas.openxmlformats.org/officeDocument/2006/relationships/image" Target="../media/image14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Abril!A1"/><Relationship Id="rId13" Type="http://schemas.openxmlformats.org/officeDocument/2006/relationships/hyperlink" Target="#Dezembro!A1"/><Relationship Id="rId18" Type="http://schemas.openxmlformats.org/officeDocument/2006/relationships/image" Target="../media/image13.png"/><Relationship Id="rId3" Type="http://schemas.openxmlformats.org/officeDocument/2006/relationships/hyperlink" Target="#Julho!A1"/><Relationship Id="rId21" Type="http://schemas.openxmlformats.org/officeDocument/2006/relationships/image" Target="../media/image3.svg"/><Relationship Id="rId7" Type="http://schemas.openxmlformats.org/officeDocument/2006/relationships/hyperlink" Target="#Setembro!A1"/><Relationship Id="rId12" Type="http://schemas.openxmlformats.org/officeDocument/2006/relationships/hyperlink" Target="#Junho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&#231;o!A1"/><Relationship Id="rId11" Type="http://schemas.openxmlformats.org/officeDocument/2006/relationships/hyperlink" Target="#Novembro!A1"/><Relationship Id="rId5" Type="http://schemas.openxmlformats.org/officeDocument/2006/relationships/hyperlink" Target="#Agosto!A1"/><Relationship Id="rId15" Type="http://schemas.openxmlformats.org/officeDocument/2006/relationships/image" Target="../media/image15.svg"/><Relationship Id="rId10" Type="http://schemas.openxmlformats.org/officeDocument/2006/relationships/hyperlink" Target="#Maio!A1"/><Relationship Id="rId19" Type="http://schemas.openxmlformats.org/officeDocument/2006/relationships/hyperlink" Target="#Gr&#225;fico!A1"/><Relationship Id="rId4" Type="http://schemas.openxmlformats.org/officeDocument/2006/relationships/hyperlink" Target="#Fevereiro!A1"/><Relationship Id="rId9" Type="http://schemas.openxmlformats.org/officeDocument/2006/relationships/hyperlink" Target="#Outubro!A1"/><Relationship Id="rId14" Type="http://schemas.openxmlformats.org/officeDocument/2006/relationships/image" Target="../media/image1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Abril!A1"/><Relationship Id="rId13" Type="http://schemas.openxmlformats.org/officeDocument/2006/relationships/hyperlink" Target="#Dezembro!A1"/><Relationship Id="rId18" Type="http://schemas.openxmlformats.org/officeDocument/2006/relationships/image" Target="../media/image13.png"/><Relationship Id="rId3" Type="http://schemas.openxmlformats.org/officeDocument/2006/relationships/hyperlink" Target="#Julho!A1"/><Relationship Id="rId21" Type="http://schemas.openxmlformats.org/officeDocument/2006/relationships/image" Target="../media/image3.svg"/><Relationship Id="rId7" Type="http://schemas.openxmlformats.org/officeDocument/2006/relationships/hyperlink" Target="#Setembro!A1"/><Relationship Id="rId12" Type="http://schemas.openxmlformats.org/officeDocument/2006/relationships/hyperlink" Target="#Junho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&#231;o!A1"/><Relationship Id="rId11" Type="http://schemas.openxmlformats.org/officeDocument/2006/relationships/hyperlink" Target="#Novembro!A1"/><Relationship Id="rId5" Type="http://schemas.openxmlformats.org/officeDocument/2006/relationships/hyperlink" Target="#Agosto!A1"/><Relationship Id="rId15" Type="http://schemas.openxmlformats.org/officeDocument/2006/relationships/image" Target="../media/image15.svg"/><Relationship Id="rId10" Type="http://schemas.openxmlformats.org/officeDocument/2006/relationships/hyperlink" Target="#Maio!A1"/><Relationship Id="rId19" Type="http://schemas.openxmlformats.org/officeDocument/2006/relationships/hyperlink" Target="#Gr&#225;fico!A1"/><Relationship Id="rId4" Type="http://schemas.openxmlformats.org/officeDocument/2006/relationships/hyperlink" Target="#Fevereiro!A1"/><Relationship Id="rId9" Type="http://schemas.openxmlformats.org/officeDocument/2006/relationships/hyperlink" Target="#Outubro!A1"/><Relationship Id="rId14" Type="http://schemas.openxmlformats.org/officeDocument/2006/relationships/image" Target="../media/image14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Abril!A1"/><Relationship Id="rId13" Type="http://schemas.openxmlformats.org/officeDocument/2006/relationships/hyperlink" Target="#Dezembro!A1"/><Relationship Id="rId18" Type="http://schemas.openxmlformats.org/officeDocument/2006/relationships/image" Target="../media/image13.png"/><Relationship Id="rId3" Type="http://schemas.openxmlformats.org/officeDocument/2006/relationships/hyperlink" Target="#Julho!A1"/><Relationship Id="rId21" Type="http://schemas.openxmlformats.org/officeDocument/2006/relationships/image" Target="../media/image3.svg"/><Relationship Id="rId7" Type="http://schemas.openxmlformats.org/officeDocument/2006/relationships/hyperlink" Target="#Setembro!A1"/><Relationship Id="rId12" Type="http://schemas.openxmlformats.org/officeDocument/2006/relationships/hyperlink" Target="#Junho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&#231;o!A1"/><Relationship Id="rId11" Type="http://schemas.openxmlformats.org/officeDocument/2006/relationships/hyperlink" Target="#Novembro!A1"/><Relationship Id="rId5" Type="http://schemas.openxmlformats.org/officeDocument/2006/relationships/hyperlink" Target="#Agosto!A1"/><Relationship Id="rId15" Type="http://schemas.openxmlformats.org/officeDocument/2006/relationships/image" Target="../media/image15.svg"/><Relationship Id="rId10" Type="http://schemas.openxmlformats.org/officeDocument/2006/relationships/hyperlink" Target="#Maio!A1"/><Relationship Id="rId19" Type="http://schemas.openxmlformats.org/officeDocument/2006/relationships/hyperlink" Target="#Gr&#225;fico!A1"/><Relationship Id="rId4" Type="http://schemas.openxmlformats.org/officeDocument/2006/relationships/hyperlink" Target="#Fevereiro!A1"/><Relationship Id="rId9" Type="http://schemas.openxmlformats.org/officeDocument/2006/relationships/hyperlink" Target="#Outubro!A1"/><Relationship Id="rId14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Abril!A1"/><Relationship Id="rId13" Type="http://schemas.openxmlformats.org/officeDocument/2006/relationships/hyperlink" Target="#Dezembro!A1"/><Relationship Id="rId18" Type="http://schemas.openxmlformats.org/officeDocument/2006/relationships/image" Target="../media/image13.png"/><Relationship Id="rId3" Type="http://schemas.openxmlformats.org/officeDocument/2006/relationships/hyperlink" Target="#Julho!A1"/><Relationship Id="rId21" Type="http://schemas.openxmlformats.org/officeDocument/2006/relationships/image" Target="../media/image3.svg"/><Relationship Id="rId7" Type="http://schemas.openxmlformats.org/officeDocument/2006/relationships/hyperlink" Target="#Setembro!A1"/><Relationship Id="rId12" Type="http://schemas.openxmlformats.org/officeDocument/2006/relationships/hyperlink" Target="#Junho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&#231;o!A1"/><Relationship Id="rId11" Type="http://schemas.openxmlformats.org/officeDocument/2006/relationships/hyperlink" Target="#Novembro!A1"/><Relationship Id="rId5" Type="http://schemas.openxmlformats.org/officeDocument/2006/relationships/hyperlink" Target="#Agosto!A1"/><Relationship Id="rId15" Type="http://schemas.openxmlformats.org/officeDocument/2006/relationships/image" Target="../media/image15.svg"/><Relationship Id="rId10" Type="http://schemas.openxmlformats.org/officeDocument/2006/relationships/hyperlink" Target="#Maio!A1"/><Relationship Id="rId19" Type="http://schemas.openxmlformats.org/officeDocument/2006/relationships/hyperlink" Target="#Gr&#225;fico!A1"/><Relationship Id="rId4" Type="http://schemas.openxmlformats.org/officeDocument/2006/relationships/hyperlink" Target="#Fevereiro!A1"/><Relationship Id="rId9" Type="http://schemas.openxmlformats.org/officeDocument/2006/relationships/hyperlink" Target="#Outubro!A1"/><Relationship Id="rId14" Type="http://schemas.openxmlformats.org/officeDocument/2006/relationships/image" Target="../media/image14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April!A1"/><Relationship Id="rId13" Type="http://schemas.openxmlformats.org/officeDocument/2006/relationships/hyperlink" Target="#December!A1"/><Relationship Id="rId18" Type="http://schemas.openxmlformats.org/officeDocument/2006/relationships/image" Target="../media/image13.png"/><Relationship Id="rId3" Type="http://schemas.openxmlformats.org/officeDocument/2006/relationships/hyperlink" Target="#July!A1"/><Relationship Id="rId21" Type="http://schemas.openxmlformats.org/officeDocument/2006/relationships/image" Target="../media/image3.svg"/><Relationship Id="rId7" Type="http://schemas.openxmlformats.org/officeDocument/2006/relationships/hyperlink" Target="#September!A1"/><Relationship Id="rId12" Type="http://schemas.openxmlformats.org/officeDocument/2006/relationships/hyperlink" Target="#June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ch!A1"/><Relationship Id="rId11" Type="http://schemas.openxmlformats.org/officeDocument/2006/relationships/hyperlink" Target="#November!A1"/><Relationship Id="rId5" Type="http://schemas.openxmlformats.org/officeDocument/2006/relationships/hyperlink" Target="#August!A1"/><Relationship Id="rId15" Type="http://schemas.openxmlformats.org/officeDocument/2006/relationships/image" Target="../media/image15.svg"/><Relationship Id="rId10" Type="http://schemas.openxmlformats.org/officeDocument/2006/relationships/hyperlink" Target="#May!A1"/><Relationship Id="rId19" Type="http://schemas.openxmlformats.org/officeDocument/2006/relationships/hyperlink" Target="#Gr&#225;fico!A1"/><Relationship Id="rId4" Type="http://schemas.openxmlformats.org/officeDocument/2006/relationships/hyperlink" Target="#February!A1"/><Relationship Id="rId9" Type="http://schemas.openxmlformats.org/officeDocument/2006/relationships/hyperlink" Target="#October!A1"/><Relationship Id="rId14" Type="http://schemas.openxmlformats.org/officeDocument/2006/relationships/image" Target="../media/image1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April!A1"/><Relationship Id="rId13" Type="http://schemas.openxmlformats.org/officeDocument/2006/relationships/hyperlink" Target="#December!A1"/><Relationship Id="rId18" Type="http://schemas.openxmlformats.org/officeDocument/2006/relationships/image" Target="../media/image13.png"/><Relationship Id="rId3" Type="http://schemas.openxmlformats.org/officeDocument/2006/relationships/hyperlink" Target="#July!A1"/><Relationship Id="rId21" Type="http://schemas.openxmlformats.org/officeDocument/2006/relationships/image" Target="../media/image3.svg"/><Relationship Id="rId7" Type="http://schemas.openxmlformats.org/officeDocument/2006/relationships/hyperlink" Target="#September!A1"/><Relationship Id="rId12" Type="http://schemas.openxmlformats.org/officeDocument/2006/relationships/hyperlink" Target="#June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ch!A1"/><Relationship Id="rId11" Type="http://schemas.openxmlformats.org/officeDocument/2006/relationships/hyperlink" Target="#November!A1"/><Relationship Id="rId5" Type="http://schemas.openxmlformats.org/officeDocument/2006/relationships/hyperlink" Target="#August!A1"/><Relationship Id="rId15" Type="http://schemas.openxmlformats.org/officeDocument/2006/relationships/image" Target="../media/image15.svg"/><Relationship Id="rId10" Type="http://schemas.openxmlformats.org/officeDocument/2006/relationships/hyperlink" Target="#May!A1"/><Relationship Id="rId19" Type="http://schemas.openxmlformats.org/officeDocument/2006/relationships/hyperlink" Target="#Gr&#225;fico!A1"/><Relationship Id="rId4" Type="http://schemas.openxmlformats.org/officeDocument/2006/relationships/hyperlink" Target="#February!A1"/><Relationship Id="rId9" Type="http://schemas.openxmlformats.org/officeDocument/2006/relationships/hyperlink" Target="#October!A1"/><Relationship Id="rId14" Type="http://schemas.openxmlformats.org/officeDocument/2006/relationships/image" Target="../media/image1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April!A1"/><Relationship Id="rId13" Type="http://schemas.openxmlformats.org/officeDocument/2006/relationships/hyperlink" Target="#December!A1"/><Relationship Id="rId18" Type="http://schemas.openxmlformats.org/officeDocument/2006/relationships/image" Target="../media/image13.png"/><Relationship Id="rId3" Type="http://schemas.openxmlformats.org/officeDocument/2006/relationships/hyperlink" Target="#July!A1"/><Relationship Id="rId21" Type="http://schemas.openxmlformats.org/officeDocument/2006/relationships/image" Target="../media/image3.svg"/><Relationship Id="rId7" Type="http://schemas.openxmlformats.org/officeDocument/2006/relationships/hyperlink" Target="#September!A1"/><Relationship Id="rId12" Type="http://schemas.openxmlformats.org/officeDocument/2006/relationships/hyperlink" Target="#June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ch!A1"/><Relationship Id="rId11" Type="http://schemas.openxmlformats.org/officeDocument/2006/relationships/hyperlink" Target="#November!A1"/><Relationship Id="rId5" Type="http://schemas.openxmlformats.org/officeDocument/2006/relationships/hyperlink" Target="#August!A1"/><Relationship Id="rId15" Type="http://schemas.openxmlformats.org/officeDocument/2006/relationships/image" Target="../media/image15.svg"/><Relationship Id="rId10" Type="http://schemas.openxmlformats.org/officeDocument/2006/relationships/hyperlink" Target="#May!A1"/><Relationship Id="rId19" Type="http://schemas.openxmlformats.org/officeDocument/2006/relationships/hyperlink" Target="#Gr&#225;fico!A1"/><Relationship Id="rId4" Type="http://schemas.openxmlformats.org/officeDocument/2006/relationships/hyperlink" Target="#February!A1"/><Relationship Id="rId9" Type="http://schemas.openxmlformats.org/officeDocument/2006/relationships/hyperlink" Target="#October!A1"/><Relationship Id="rId14" Type="http://schemas.openxmlformats.org/officeDocument/2006/relationships/image" Target="../media/image14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April!A1"/><Relationship Id="rId13" Type="http://schemas.openxmlformats.org/officeDocument/2006/relationships/hyperlink" Target="#December!A1"/><Relationship Id="rId18" Type="http://schemas.openxmlformats.org/officeDocument/2006/relationships/image" Target="../media/image13.png"/><Relationship Id="rId3" Type="http://schemas.openxmlformats.org/officeDocument/2006/relationships/hyperlink" Target="#July!A1"/><Relationship Id="rId21" Type="http://schemas.openxmlformats.org/officeDocument/2006/relationships/image" Target="../media/image3.svg"/><Relationship Id="rId7" Type="http://schemas.openxmlformats.org/officeDocument/2006/relationships/hyperlink" Target="#September!A1"/><Relationship Id="rId12" Type="http://schemas.openxmlformats.org/officeDocument/2006/relationships/hyperlink" Target="#June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ch!A1"/><Relationship Id="rId11" Type="http://schemas.openxmlformats.org/officeDocument/2006/relationships/hyperlink" Target="#November!A1"/><Relationship Id="rId5" Type="http://schemas.openxmlformats.org/officeDocument/2006/relationships/hyperlink" Target="#August!A1"/><Relationship Id="rId15" Type="http://schemas.openxmlformats.org/officeDocument/2006/relationships/image" Target="../media/image15.svg"/><Relationship Id="rId10" Type="http://schemas.openxmlformats.org/officeDocument/2006/relationships/hyperlink" Target="#May!A1"/><Relationship Id="rId19" Type="http://schemas.openxmlformats.org/officeDocument/2006/relationships/hyperlink" Target="#Gr&#225;fico!A1"/><Relationship Id="rId4" Type="http://schemas.openxmlformats.org/officeDocument/2006/relationships/hyperlink" Target="#February!A1"/><Relationship Id="rId9" Type="http://schemas.openxmlformats.org/officeDocument/2006/relationships/hyperlink" Target="#October!A1"/><Relationship Id="rId14" Type="http://schemas.openxmlformats.org/officeDocument/2006/relationships/image" Target="../media/image14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April!A1"/><Relationship Id="rId13" Type="http://schemas.openxmlformats.org/officeDocument/2006/relationships/hyperlink" Target="#December!A1"/><Relationship Id="rId18" Type="http://schemas.openxmlformats.org/officeDocument/2006/relationships/image" Target="../media/image13.png"/><Relationship Id="rId3" Type="http://schemas.openxmlformats.org/officeDocument/2006/relationships/hyperlink" Target="#July!A1"/><Relationship Id="rId21" Type="http://schemas.openxmlformats.org/officeDocument/2006/relationships/image" Target="../media/image3.svg"/><Relationship Id="rId7" Type="http://schemas.openxmlformats.org/officeDocument/2006/relationships/hyperlink" Target="#September!A1"/><Relationship Id="rId12" Type="http://schemas.openxmlformats.org/officeDocument/2006/relationships/hyperlink" Target="#June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ch!A1"/><Relationship Id="rId11" Type="http://schemas.openxmlformats.org/officeDocument/2006/relationships/hyperlink" Target="#November!A1"/><Relationship Id="rId5" Type="http://schemas.openxmlformats.org/officeDocument/2006/relationships/hyperlink" Target="#August!A1"/><Relationship Id="rId15" Type="http://schemas.openxmlformats.org/officeDocument/2006/relationships/image" Target="../media/image15.svg"/><Relationship Id="rId10" Type="http://schemas.openxmlformats.org/officeDocument/2006/relationships/hyperlink" Target="#May!A1"/><Relationship Id="rId19" Type="http://schemas.openxmlformats.org/officeDocument/2006/relationships/hyperlink" Target="#Gr&#225;fico!A1"/><Relationship Id="rId4" Type="http://schemas.openxmlformats.org/officeDocument/2006/relationships/hyperlink" Target="#February!A1"/><Relationship Id="rId9" Type="http://schemas.openxmlformats.org/officeDocument/2006/relationships/hyperlink" Target="#October!A1"/><Relationship Id="rId14" Type="http://schemas.openxmlformats.org/officeDocument/2006/relationships/image" Target="../media/image14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April!A1"/><Relationship Id="rId13" Type="http://schemas.openxmlformats.org/officeDocument/2006/relationships/hyperlink" Target="#December!A1"/><Relationship Id="rId18" Type="http://schemas.openxmlformats.org/officeDocument/2006/relationships/image" Target="../media/image13.png"/><Relationship Id="rId3" Type="http://schemas.openxmlformats.org/officeDocument/2006/relationships/hyperlink" Target="#July!A1"/><Relationship Id="rId21" Type="http://schemas.openxmlformats.org/officeDocument/2006/relationships/image" Target="../media/image3.svg"/><Relationship Id="rId7" Type="http://schemas.openxmlformats.org/officeDocument/2006/relationships/hyperlink" Target="#September!A1"/><Relationship Id="rId12" Type="http://schemas.openxmlformats.org/officeDocument/2006/relationships/hyperlink" Target="#June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ch!A1"/><Relationship Id="rId11" Type="http://schemas.openxmlformats.org/officeDocument/2006/relationships/hyperlink" Target="#November!A1"/><Relationship Id="rId5" Type="http://schemas.openxmlformats.org/officeDocument/2006/relationships/hyperlink" Target="#August!A1"/><Relationship Id="rId15" Type="http://schemas.openxmlformats.org/officeDocument/2006/relationships/image" Target="../media/image15.svg"/><Relationship Id="rId10" Type="http://schemas.openxmlformats.org/officeDocument/2006/relationships/hyperlink" Target="#May!A1"/><Relationship Id="rId19" Type="http://schemas.openxmlformats.org/officeDocument/2006/relationships/hyperlink" Target="#Gr&#225;fico!A1"/><Relationship Id="rId4" Type="http://schemas.openxmlformats.org/officeDocument/2006/relationships/hyperlink" Target="#February!A1"/><Relationship Id="rId9" Type="http://schemas.openxmlformats.org/officeDocument/2006/relationships/hyperlink" Target="#October!A1"/><Relationship Id="rId14" Type="http://schemas.openxmlformats.org/officeDocument/2006/relationships/image" Target="../media/image14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April!A1"/><Relationship Id="rId13" Type="http://schemas.openxmlformats.org/officeDocument/2006/relationships/hyperlink" Target="#December!A1"/><Relationship Id="rId18" Type="http://schemas.openxmlformats.org/officeDocument/2006/relationships/image" Target="../media/image13.png"/><Relationship Id="rId3" Type="http://schemas.openxmlformats.org/officeDocument/2006/relationships/hyperlink" Target="#July!A1"/><Relationship Id="rId21" Type="http://schemas.openxmlformats.org/officeDocument/2006/relationships/image" Target="../media/image3.svg"/><Relationship Id="rId7" Type="http://schemas.openxmlformats.org/officeDocument/2006/relationships/hyperlink" Target="#September!A1"/><Relationship Id="rId12" Type="http://schemas.openxmlformats.org/officeDocument/2006/relationships/hyperlink" Target="#June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ch!A1"/><Relationship Id="rId11" Type="http://schemas.openxmlformats.org/officeDocument/2006/relationships/hyperlink" Target="#November!A1"/><Relationship Id="rId5" Type="http://schemas.openxmlformats.org/officeDocument/2006/relationships/hyperlink" Target="#August!A1"/><Relationship Id="rId15" Type="http://schemas.openxmlformats.org/officeDocument/2006/relationships/image" Target="../media/image15.svg"/><Relationship Id="rId10" Type="http://schemas.openxmlformats.org/officeDocument/2006/relationships/hyperlink" Target="#May!A1"/><Relationship Id="rId19" Type="http://schemas.openxmlformats.org/officeDocument/2006/relationships/hyperlink" Target="#Gr&#225;fico!A1"/><Relationship Id="rId4" Type="http://schemas.openxmlformats.org/officeDocument/2006/relationships/hyperlink" Target="#February!A1"/><Relationship Id="rId9" Type="http://schemas.openxmlformats.org/officeDocument/2006/relationships/hyperlink" Target="#October!A1"/><Relationship Id="rId14" Type="http://schemas.openxmlformats.org/officeDocument/2006/relationships/image" Target="../media/image14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April!A1"/><Relationship Id="rId13" Type="http://schemas.openxmlformats.org/officeDocument/2006/relationships/hyperlink" Target="#December!A1"/><Relationship Id="rId18" Type="http://schemas.openxmlformats.org/officeDocument/2006/relationships/image" Target="../media/image13.png"/><Relationship Id="rId3" Type="http://schemas.openxmlformats.org/officeDocument/2006/relationships/hyperlink" Target="#July!A1"/><Relationship Id="rId21" Type="http://schemas.openxmlformats.org/officeDocument/2006/relationships/image" Target="../media/image3.svg"/><Relationship Id="rId7" Type="http://schemas.openxmlformats.org/officeDocument/2006/relationships/hyperlink" Target="#September!A1"/><Relationship Id="rId12" Type="http://schemas.openxmlformats.org/officeDocument/2006/relationships/hyperlink" Target="#June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ch!A1"/><Relationship Id="rId11" Type="http://schemas.openxmlformats.org/officeDocument/2006/relationships/hyperlink" Target="#November!A1"/><Relationship Id="rId5" Type="http://schemas.openxmlformats.org/officeDocument/2006/relationships/hyperlink" Target="#August!A1"/><Relationship Id="rId15" Type="http://schemas.openxmlformats.org/officeDocument/2006/relationships/image" Target="../media/image15.svg"/><Relationship Id="rId10" Type="http://schemas.openxmlformats.org/officeDocument/2006/relationships/hyperlink" Target="#May!A1"/><Relationship Id="rId19" Type="http://schemas.openxmlformats.org/officeDocument/2006/relationships/hyperlink" Target="#Gr&#225;fico!A1"/><Relationship Id="rId4" Type="http://schemas.openxmlformats.org/officeDocument/2006/relationships/hyperlink" Target="#February!A1"/><Relationship Id="rId9" Type="http://schemas.openxmlformats.org/officeDocument/2006/relationships/hyperlink" Target="#October!A1"/><Relationship Id="rId14" Type="http://schemas.openxmlformats.org/officeDocument/2006/relationships/image" Target="../media/image14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April!A1"/><Relationship Id="rId13" Type="http://schemas.openxmlformats.org/officeDocument/2006/relationships/hyperlink" Target="#December!A1"/><Relationship Id="rId18" Type="http://schemas.openxmlformats.org/officeDocument/2006/relationships/image" Target="../media/image13.png"/><Relationship Id="rId3" Type="http://schemas.openxmlformats.org/officeDocument/2006/relationships/hyperlink" Target="#July!A1"/><Relationship Id="rId21" Type="http://schemas.openxmlformats.org/officeDocument/2006/relationships/image" Target="../media/image3.svg"/><Relationship Id="rId7" Type="http://schemas.openxmlformats.org/officeDocument/2006/relationships/hyperlink" Target="#September!A1"/><Relationship Id="rId12" Type="http://schemas.openxmlformats.org/officeDocument/2006/relationships/hyperlink" Target="#June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ch!A1"/><Relationship Id="rId11" Type="http://schemas.openxmlformats.org/officeDocument/2006/relationships/hyperlink" Target="#November!A1"/><Relationship Id="rId5" Type="http://schemas.openxmlformats.org/officeDocument/2006/relationships/hyperlink" Target="#August!A1"/><Relationship Id="rId15" Type="http://schemas.openxmlformats.org/officeDocument/2006/relationships/image" Target="../media/image15.svg"/><Relationship Id="rId10" Type="http://schemas.openxmlformats.org/officeDocument/2006/relationships/hyperlink" Target="#May!A1"/><Relationship Id="rId19" Type="http://schemas.openxmlformats.org/officeDocument/2006/relationships/hyperlink" Target="#Gr&#225;fico!A1"/><Relationship Id="rId4" Type="http://schemas.openxmlformats.org/officeDocument/2006/relationships/hyperlink" Target="#February!A1"/><Relationship Id="rId9" Type="http://schemas.openxmlformats.org/officeDocument/2006/relationships/hyperlink" Target="#October!A1"/><Relationship Id="rId14" Type="http://schemas.openxmlformats.org/officeDocument/2006/relationships/image" Target="../media/image14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pril!A1"/><Relationship Id="rId13" Type="http://schemas.openxmlformats.org/officeDocument/2006/relationships/hyperlink" Target="#December!A1"/><Relationship Id="rId18" Type="http://schemas.openxmlformats.org/officeDocument/2006/relationships/image" Target="../media/image13.png"/><Relationship Id="rId3" Type="http://schemas.openxmlformats.org/officeDocument/2006/relationships/hyperlink" Target="#July!A1"/><Relationship Id="rId21" Type="http://schemas.openxmlformats.org/officeDocument/2006/relationships/image" Target="../media/image3.svg"/><Relationship Id="rId7" Type="http://schemas.openxmlformats.org/officeDocument/2006/relationships/hyperlink" Target="#September!A1"/><Relationship Id="rId12" Type="http://schemas.openxmlformats.org/officeDocument/2006/relationships/hyperlink" Target="#June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ch!A1"/><Relationship Id="rId11" Type="http://schemas.openxmlformats.org/officeDocument/2006/relationships/hyperlink" Target="#November!A1"/><Relationship Id="rId5" Type="http://schemas.openxmlformats.org/officeDocument/2006/relationships/hyperlink" Target="#August!A1"/><Relationship Id="rId15" Type="http://schemas.openxmlformats.org/officeDocument/2006/relationships/image" Target="../media/image15.svg"/><Relationship Id="rId10" Type="http://schemas.openxmlformats.org/officeDocument/2006/relationships/hyperlink" Target="#May!A1"/><Relationship Id="rId19" Type="http://schemas.openxmlformats.org/officeDocument/2006/relationships/hyperlink" Target="#Gr&#225;fico!A1"/><Relationship Id="rId4" Type="http://schemas.openxmlformats.org/officeDocument/2006/relationships/hyperlink" Target="#February!A1"/><Relationship Id="rId9" Type="http://schemas.openxmlformats.org/officeDocument/2006/relationships/hyperlink" Target="#October!A1"/><Relationship Id="rId14" Type="http://schemas.openxmlformats.org/officeDocument/2006/relationships/image" Target="../media/image14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April!A1"/><Relationship Id="rId13" Type="http://schemas.openxmlformats.org/officeDocument/2006/relationships/hyperlink" Target="#December!A1"/><Relationship Id="rId18" Type="http://schemas.openxmlformats.org/officeDocument/2006/relationships/image" Target="../media/image13.png"/><Relationship Id="rId3" Type="http://schemas.openxmlformats.org/officeDocument/2006/relationships/hyperlink" Target="#July!A1"/><Relationship Id="rId21" Type="http://schemas.openxmlformats.org/officeDocument/2006/relationships/image" Target="../media/image3.svg"/><Relationship Id="rId7" Type="http://schemas.openxmlformats.org/officeDocument/2006/relationships/hyperlink" Target="#September!A1"/><Relationship Id="rId12" Type="http://schemas.openxmlformats.org/officeDocument/2006/relationships/hyperlink" Target="#June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ch!A1"/><Relationship Id="rId11" Type="http://schemas.openxmlformats.org/officeDocument/2006/relationships/hyperlink" Target="#November!A1"/><Relationship Id="rId5" Type="http://schemas.openxmlformats.org/officeDocument/2006/relationships/hyperlink" Target="#August!A1"/><Relationship Id="rId15" Type="http://schemas.openxmlformats.org/officeDocument/2006/relationships/image" Target="../media/image15.svg"/><Relationship Id="rId10" Type="http://schemas.openxmlformats.org/officeDocument/2006/relationships/hyperlink" Target="#May!A1"/><Relationship Id="rId19" Type="http://schemas.openxmlformats.org/officeDocument/2006/relationships/hyperlink" Target="#Gr&#225;fico!A1"/><Relationship Id="rId4" Type="http://schemas.openxmlformats.org/officeDocument/2006/relationships/hyperlink" Target="#February!A1"/><Relationship Id="rId9" Type="http://schemas.openxmlformats.org/officeDocument/2006/relationships/hyperlink" Target="#October!A1"/><Relationship Id="rId14" Type="http://schemas.openxmlformats.org/officeDocument/2006/relationships/image" Target="../media/image14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April!A1"/><Relationship Id="rId13" Type="http://schemas.openxmlformats.org/officeDocument/2006/relationships/hyperlink" Target="#December!A1"/><Relationship Id="rId18" Type="http://schemas.openxmlformats.org/officeDocument/2006/relationships/image" Target="../media/image13.png"/><Relationship Id="rId3" Type="http://schemas.openxmlformats.org/officeDocument/2006/relationships/hyperlink" Target="#July!A1"/><Relationship Id="rId21" Type="http://schemas.openxmlformats.org/officeDocument/2006/relationships/image" Target="../media/image3.svg"/><Relationship Id="rId7" Type="http://schemas.openxmlformats.org/officeDocument/2006/relationships/hyperlink" Target="#September!A1"/><Relationship Id="rId12" Type="http://schemas.openxmlformats.org/officeDocument/2006/relationships/hyperlink" Target="#June!A1"/><Relationship Id="rId17" Type="http://schemas.openxmlformats.org/officeDocument/2006/relationships/hyperlink" Target="#Personaliza&#231;&#227;o!A1"/><Relationship Id="rId2" Type="http://schemas.openxmlformats.org/officeDocument/2006/relationships/hyperlink" Target="#January!A1"/><Relationship Id="rId16" Type="http://schemas.openxmlformats.org/officeDocument/2006/relationships/image" Target="../media/image5.png"/><Relationship Id="rId20" Type="http://schemas.openxmlformats.org/officeDocument/2006/relationships/image" Target="../media/image2.png"/><Relationship Id="rId1" Type="http://schemas.openxmlformats.org/officeDocument/2006/relationships/hyperlink" Target="#Janeiro!A1"/><Relationship Id="rId6" Type="http://schemas.openxmlformats.org/officeDocument/2006/relationships/hyperlink" Target="#March!A1"/><Relationship Id="rId11" Type="http://schemas.openxmlformats.org/officeDocument/2006/relationships/hyperlink" Target="#November!A1"/><Relationship Id="rId5" Type="http://schemas.openxmlformats.org/officeDocument/2006/relationships/hyperlink" Target="#August!A1"/><Relationship Id="rId15" Type="http://schemas.openxmlformats.org/officeDocument/2006/relationships/image" Target="../media/image15.svg"/><Relationship Id="rId10" Type="http://schemas.openxmlformats.org/officeDocument/2006/relationships/hyperlink" Target="#May!A1"/><Relationship Id="rId19" Type="http://schemas.openxmlformats.org/officeDocument/2006/relationships/hyperlink" Target="#Gr&#225;fico!A1"/><Relationship Id="rId4" Type="http://schemas.openxmlformats.org/officeDocument/2006/relationships/hyperlink" Target="#February!A1"/><Relationship Id="rId9" Type="http://schemas.openxmlformats.org/officeDocument/2006/relationships/hyperlink" Target="#October!A1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486834</xdr:colOff>
      <xdr:row>0</xdr:row>
      <xdr:rowOff>273050</xdr:rowOff>
    </xdr:from>
    <xdr:to>
      <xdr:col>5</xdr:col>
      <xdr:colOff>312209</xdr:colOff>
      <xdr:row>2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Ano">
              <a:extLst>
                <a:ext uri="{FF2B5EF4-FFF2-40B4-BE49-F238E27FC236}">
                  <a16:creationId xmlns:a16="http://schemas.microsoft.com/office/drawing/2014/main" id="{DD4D8C3E-1717-C9DD-B705-EC4D926BE3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95084" y="273050"/>
              <a:ext cx="1836208" cy="990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5</xdr:col>
      <xdr:colOff>311149</xdr:colOff>
      <xdr:row>0</xdr:row>
      <xdr:rowOff>273049</xdr:rowOff>
    </xdr:from>
    <xdr:to>
      <xdr:col>13</xdr:col>
      <xdr:colOff>198966</xdr:colOff>
      <xdr:row>2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eses 1">
              <a:extLst>
                <a:ext uri="{FF2B5EF4-FFF2-40B4-BE49-F238E27FC236}">
                  <a16:creationId xmlns:a16="http://schemas.microsoft.com/office/drawing/2014/main" id="{29CC0473-ADE8-4AD4-11CF-2B33752040E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30232" y="273049"/>
              <a:ext cx="8439151" cy="9906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1</xdr:row>
      <xdr:rowOff>19050</xdr:rowOff>
    </xdr:from>
    <xdr:to>
      <xdr:col>12</xdr:col>
      <xdr:colOff>1</xdr:colOff>
      <xdr:row>3</xdr:row>
      <xdr:rowOff>47625</xdr:rowOff>
    </xdr:to>
    <xdr:sp macro="" textlink="">
      <xdr:nvSpPr>
        <xdr:cNvPr id="9" name="Retângulo: Cantos Superiores Arredondados 8">
          <a:extLst>
            <a:ext uri="{FF2B5EF4-FFF2-40B4-BE49-F238E27FC236}">
              <a16:creationId xmlns:a16="http://schemas.microsoft.com/office/drawing/2014/main" id="{A2FE6AF7-3129-4563-8BC9-35E90AA7A24C}"/>
            </a:ext>
          </a:extLst>
        </xdr:cNvPr>
        <xdr:cNvSpPr/>
      </xdr:nvSpPr>
      <xdr:spPr>
        <a:xfrm>
          <a:off x="1219201" y="209550"/>
          <a:ext cx="8153400" cy="4095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610657</xdr:colOff>
      <xdr:row>31</xdr:row>
      <xdr:rowOff>154514</xdr:rowOff>
    </xdr:from>
    <xdr:to>
      <xdr:col>12</xdr:col>
      <xdr:colOff>20108</xdr:colOff>
      <xdr:row>33</xdr:row>
      <xdr:rowOff>106889</xdr:rowOff>
    </xdr:to>
    <xdr:sp macro="" textlink="">
      <xdr:nvSpPr>
        <xdr:cNvPr id="10" name="Retângulo: Cantos Superiores Arredondados 9">
          <a:extLst>
            <a:ext uri="{FF2B5EF4-FFF2-40B4-BE49-F238E27FC236}">
              <a16:creationId xmlns:a16="http://schemas.microsoft.com/office/drawing/2014/main" id="{CC765622-410D-434B-A7B0-7A223B74E385}"/>
            </a:ext>
          </a:extLst>
        </xdr:cNvPr>
        <xdr:cNvSpPr/>
      </xdr:nvSpPr>
      <xdr:spPr>
        <a:xfrm rot="10800000">
          <a:off x="1224490" y="8155514"/>
          <a:ext cx="8214785" cy="3333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152400</xdr:colOff>
      <xdr:row>6</xdr:row>
      <xdr:rowOff>253765</xdr:rowOff>
    </xdr:from>
    <xdr:to>
      <xdr:col>13</xdr:col>
      <xdr:colOff>564096</xdr:colOff>
      <xdr:row>8</xdr:row>
      <xdr:rowOff>237892</xdr:rowOff>
    </xdr:to>
    <xdr:grpSp>
      <xdr:nvGrpSpPr>
        <xdr:cNvPr id="17" name="Agrupar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8E96D8-2DA7-3078-C300-0DB4C23F39B8}"/>
            </a:ext>
          </a:extLst>
        </xdr:cNvPr>
        <xdr:cNvGrpSpPr/>
      </xdr:nvGrpSpPr>
      <xdr:grpSpPr>
        <a:xfrm>
          <a:off x="8957733" y="1841265"/>
          <a:ext cx="1639363" cy="619127"/>
          <a:chOff x="8915400" y="1844440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68EA6C78-E6A7-0A6B-9541-65EB2A3E0D05}"/>
              </a:ext>
            </a:extLst>
          </xdr:cNvPr>
          <xdr:cNvSpPr/>
        </xdr:nvSpPr>
        <xdr:spPr>
          <a:xfrm rot="5400000">
            <a:off x="9424459" y="1335381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ApagarParcelas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31833DE1-3590-D73C-EADD-49EE39624AF6}"/>
              </a:ext>
            </a:extLst>
          </xdr:cNvPr>
          <xdr:cNvSpPr txBox="1"/>
        </xdr:nvSpPr>
        <xdr:spPr>
          <a:xfrm>
            <a:off x="9337240" y="1946424"/>
            <a:ext cx="105453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Planilha</a:t>
            </a:r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B11CA7C3-4306-A5F6-CF7A-E49B8CB829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1125" y="1981200"/>
            <a:ext cx="352424" cy="352424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158751</xdr:colOff>
      <xdr:row>3</xdr:row>
      <xdr:rowOff>529166</xdr:rowOff>
    </xdr:from>
    <xdr:to>
      <xdr:col>13</xdr:col>
      <xdr:colOff>540812</xdr:colOff>
      <xdr:row>6</xdr:row>
      <xdr:rowOff>122765</xdr:rowOff>
    </xdr:to>
    <xdr:grpSp>
      <xdr:nvGrpSpPr>
        <xdr:cNvPr id="5" name="Agrupar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ECDE7F3-7B82-4AED-BB96-75EF293B17BE}"/>
            </a:ext>
          </a:extLst>
        </xdr:cNvPr>
        <xdr:cNvGrpSpPr/>
      </xdr:nvGrpSpPr>
      <xdr:grpSpPr>
        <a:xfrm>
          <a:off x="8964084" y="1100666"/>
          <a:ext cx="1609728" cy="609599"/>
          <a:chOff x="11757022" y="3523660"/>
          <a:chExt cx="1609728" cy="609599"/>
        </a:xfrm>
      </xdr:grpSpPr>
      <xdr:sp macro="" textlink="">
        <xdr:nvSpPr>
          <xdr:cNvPr id="7" name="Retângulo com canto arredondado do mesmo lado 14">
            <a:extLst>
              <a:ext uri="{FF2B5EF4-FFF2-40B4-BE49-F238E27FC236}">
                <a16:creationId xmlns:a16="http://schemas.microsoft.com/office/drawing/2014/main" id="{F52A92C7-72BF-6A2D-7D1A-E137042B3C1E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6F411D76-6C7F-7EF8-F347-43FB4CBE321B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3" name="Gráfico 12" descr="Gráfico de barras com tendência ascendente com preenchimento sólido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6026E37-25C6-D1D5-2062-0D6097A43E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21166</xdr:colOff>
      <xdr:row>3</xdr:row>
      <xdr:rowOff>63499</xdr:rowOff>
    </xdr:from>
    <xdr:to>
      <xdr:col>9</xdr:col>
      <xdr:colOff>1375833</xdr:colOff>
      <xdr:row>5</xdr:row>
      <xdr:rowOff>95249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F7DCEDBF-6584-654D-6402-914791C82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0333" y="634999"/>
          <a:ext cx="3810000" cy="857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245188</xdr:colOff>
      <xdr:row>14</xdr:row>
      <xdr:rowOff>192614</xdr:rowOff>
    </xdr:from>
    <xdr:to>
      <xdr:col>4</xdr:col>
      <xdr:colOff>148166</xdr:colOff>
      <xdr:row>20</xdr:row>
      <xdr:rowOff>97768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D2F475AE-75C6-44D8-8B8A-D713C649D87B}"/>
            </a:ext>
          </a:extLst>
        </xdr:cNvPr>
        <xdr:cNvSpPr/>
      </xdr:nvSpPr>
      <xdr:spPr>
        <a:xfrm>
          <a:off x="1282355" y="2880781"/>
          <a:ext cx="2093728" cy="984654"/>
        </a:xfrm>
        <a:prstGeom prst="roundRect">
          <a:avLst>
            <a:gd name="adj" fmla="val 8120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239896</xdr:colOff>
      <xdr:row>14</xdr:row>
      <xdr:rowOff>192614</xdr:rowOff>
    </xdr:from>
    <xdr:to>
      <xdr:col>8</xdr:col>
      <xdr:colOff>185208</xdr:colOff>
      <xdr:row>20</xdr:row>
      <xdr:rowOff>97768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2CAC53EB-E465-8623-2D8B-AA32F3A7CBA3}"/>
            </a:ext>
          </a:extLst>
        </xdr:cNvPr>
        <xdr:cNvSpPr/>
      </xdr:nvSpPr>
      <xdr:spPr>
        <a:xfrm>
          <a:off x="3467813" y="2880781"/>
          <a:ext cx="2093728" cy="984654"/>
        </a:xfrm>
        <a:prstGeom prst="roundRect">
          <a:avLst>
            <a:gd name="adj" fmla="val 8120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308689</xdr:colOff>
      <xdr:row>14</xdr:row>
      <xdr:rowOff>192614</xdr:rowOff>
    </xdr:from>
    <xdr:to>
      <xdr:col>10</xdr:col>
      <xdr:colOff>201083</xdr:colOff>
      <xdr:row>20</xdr:row>
      <xdr:rowOff>97768</xdr:rowOff>
    </xdr:to>
    <xdr:sp macro="" textlink="">
      <xdr:nvSpPr>
        <xdr:cNvPr id="37" name="Retângulo: Cantos Arredondados 36">
          <a:extLst>
            <a:ext uri="{FF2B5EF4-FFF2-40B4-BE49-F238E27FC236}">
              <a16:creationId xmlns:a16="http://schemas.microsoft.com/office/drawing/2014/main" id="{1AAEBB54-4F7D-934E-2C8A-D3459818153C}"/>
            </a:ext>
          </a:extLst>
        </xdr:cNvPr>
        <xdr:cNvSpPr/>
      </xdr:nvSpPr>
      <xdr:spPr>
        <a:xfrm>
          <a:off x="5685022" y="2880781"/>
          <a:ext cx="2093728" cy="984654"/>
        </a:xfrm>
        <a:prstGeom prst="roundRect">
          <a:avLst>
            <a:gd name="adj" fmla="val 8120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610658</xdr:colOff>
      <xdr:row>2</xdr:row>
      <xdr:rowOff>153458</xdr:rowOff>
    </xdr:from>
    <xdr:to>
      <xdr:col>19</xdr:col>
      <xdr:colOff>0</xdr:colOff>
      <xdr:row>6</xdr:row>
      <xdr:rowOff>67733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51218EA9-04DF-4E0F-BE07-014048E91470}"/>
            </a:ext>
          </a:extLst>
        </xdr:cNvPr>
        <xdr:cNvSpPr/>
      </xdr:nvSpPr>
      <xdr:spPr>
        <a:xfrm>
          <a:off x="610658" y="534458"/>
          <a:ext cx="12110509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0</xdr:colOff>
      <xdr:row>66</xdr:row>
      <xdr:rowOff>152397</xdr:rowOff>
    </xdr:from>
    <xdr:to>
      <xdr:col>19</xdr:col>
      <xdr:colOff>10583</xdr:colOff>
      <xdr:row>69</xdr:row>
      <xdr:rowOff>66672</xdr:rowOff>
    </xdr:to>
    <xdr:sp macro="" textlink="">
      <xdr:nvSpPr>
        <xdr:cNvPr id="6" name="Retângulo: Cantos Superiores Arredondados 5">
          <a:extLst>
            <a:ext uri="{FF2B5EF4-FFF2-40B4-BE49-F238E27FC236}">
              <a16:creationId xmlns:a16="http://schemas.microsoft.com/office/drawing/2014/main" id="{7129F3AD-47C0-4567-94F5-327B705C4386}"/>
            </a:ext>
          </a:extLst>
        </xdr:cNvPr>
        <xdr:cNvSpPr/>
      </xdr:nvSpPr>
      <xdr:spPr>
        <a:xfrm rot="10800000">
          <a:off x="613833" y="12852397"/>
          <a:ext cx="12117917" cy="4857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389499</xdr:colOff>
      <xdr:row>4</xdr:row>
      <xdr:rowOff>137580</xdr:rowOff>
    </xdr:from>
    <xdr:to>
      <xdr:col>3</xdr:col>
      <xdr:colOff>389497</xdr:colOff>
      <xdr:row>11</xdr:row>
      <xdr:rowOff>52915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Ano 6">
              <a:extLst>
                <a:ext uri="{FF2B5EF4-FFF2-40B4-BE49-F238E27FC236}">
                  <a16:creationId xmlns:a16="http://schemas.microsoft.com/office/drawing/2014/main" id="{C37CDBF4-1929-419D-ACE4-6C493C89B4C4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6666" y="899580"/>
              <a:ext cx="1238248" cy="12488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11</xdr:col>
      <xdr:colOff>21168</xdr:colOff>
      <xdr:row>14</xdr:row>
      <xdr:rowOff>211667</xdr:rowOff>
    </xdr:from>
    <xdr:to>
      <xdr:col>16</xdr:col>
      <xdr:colOff>116416</xdr:colOff>
      <xdr:row>16</xdr:row>
      <xdr:rowOff>169334</xdr:rowOff>
    </xdr:to>
    <xdr:sp macro="" textlink="">
      <xdr:nvSpPr>
        <xdr:cNvPr id="11" name="Retângulo: Cantos Superiores Arredondados 10">
          <a:extLst>
            <a:ext uri="{FF2B5EF4-FFF2-40B4-BE49-F238E27FC236}">
              <a16:creationId xmlns:a16="http://schemas.microsoft.com/office/drawing/2014/main" id="{CC9AD3EA-A1E7-4C46-BF59-4D5FCE11F5ED}"/>
            </a:ext>
          </a:extLst>
        </xdr:cNvPr>
        <xdr:cNvSpPr/>
      </xdr:nvSpPr>
      <xdr:spPr>
        <a:xfrm>
          <a:off x="7895168" y="2899834"/>
          <a:ext cx="3640665" cy="232833"/>
        </a:xfrm>
        <a:prstGeom prst="round2SameRect">
          <a:avLst/>
        </a:prstGeom>
        <a:noFill/>
        <a:ln w="38100">
          <a:solidFill>
            <a:srgbClr val="70A8E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378914</xdr:colOff>
      <xdr:row>4</xdr:row>
      <xdr:rowOff>127000</xdr:rowOff>
    </xdr:from>
    <xdr:to>
      <xdr:col>17</xdr:col>
      <xdr:colOff>169333</xdr:colOff>
      <xdr:row>11</xdr:row>
      <xdr:rowOff>52916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9" name="Meses 3">
              <a:extLst>
                <a:ext uri="{FF2B5EF4-FFF2-40B4-BE49-F238E27FC236}">
                  <a16:creationId xmlns:a16="http://schemas.microsoft.com/office/drawing/2014/main" id="{501B3549-D695-47D7-B47E-8B194C45F09C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54331" y="889000"/>
              <a:ext cx="9082585" cy="12594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  <xdr:twoCellAnchor>
    <xdr:from>
      <xdr:col>1</xdr:col>
      <xdr:colOff>306916</xdr:colOff>
      <xdr:row>61</xdr:row>
      <xdr:rowOff>126999</xdr:rowOff>
    </xdr:from>
    <xdr:to>
      <xdr:col>2</xdr:col>
      <xdr:colOff>719665</xdr:colOff>
      <xdr:row>66</xdr:row>
      <xdr:rowOff>10583</xdr:rowOff>
    </xdr:to>
    <xdr:grpSp>
      <xdr:nvGrpSpPr>
        <xdr:cNvPr id="4" name="Agrupar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23DB13-D048-A994-5616-C66D54D3809A}"/>
            </a:ext>
          </a:extLst>
        </xdr:cNvPr>
        <xdr:cNvGrpSpPr/>
      </xdr:nvGrpSpPr>
      <xdr:grpSpPr>
        <a:xfrm>
          <a:off x="920749" y="11874499"/>
          <a:ext cx="836083" cy="836084"/>
          <a:chOff x="920749" y="11874499"/>
          <a:chExt cx="836083" cy="836084"/>
        </a:xfrm>
      </xdr:grpSpPr>
      <xdr:sp macro="" textlink="">
        <xdr:nvSpPr>
          <xdr:cNvPr id="32" name="Elipse 31">
            <a:extLst>
              <a:ext uri="{FF2B5EF4-FFF2-40B4-BE49-F238E27FC236}">
                <a16:creationId xmlns:a16="http://schemas.microsoft.com/office/drawing/2014/main" id="{9B9C54A9-1638-493E-82C6-58267686550C}"/>
              </a:ext>
            </a:extLst>
          </xdr:cNvPr>
          <xdr:cNvSpPr/>
        </xdr:nvSpPr>
        <xdr:spPr>
          <a:xfrm>
            <a:off x="920749" y="11874499"/>
            <a:ext cx="836083" cy="836084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D1F0722B-DC33-E64F-52AF-05F6F14BC8EE}"/>
              </a:ext>
            </a:extLst>
          </xdr:cNvPr>
          <xdr:cNvSpPr txBox="1"/>
        </xdr:nvSpPr>
        <xdr:spPr>
          <a:xfrm>
            <a:off x="1043144" y="12283017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95FB49DD-A531-A9D2-FA8B-1F05025ADD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0040" y="12022666"/>
            <a:ext cx="338666" cy="33866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203634</xdr:colOff>
      <xdr:row>34</xdr:row>
      <xdr:rowOff>185415</xdr:rowOff>
    </xdr:from>
    <xdr:to>
      <xdr:col>8</xdr:col>
      <xdr:colOff>486834</xdr:colOff>
      <xdr:row>57</xdr:row>
      <xdr:rowOff>126999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1185E971-73AB-3745-0C74-9D5AC066A744}"/>
            </a:ext>
          </a:extLst>
        </xdr:cNvPr>
        <xdr:cNvSpPr/>
      </xdr:nvSpPr>
      <xdr:spPr>
        <a:xfrm>
          <a:off x="1240801" y="6641248"/>
          <a:ext cx="4622366" cy="4471251"/>
        </a:xfrm>
        <a:prstGeom prst="roundRect">
          <a:avLst>
            <a:gd name="adj" fmla="val 4359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201084</xdr:colOff>
      <xdr:row>21</xdr:row>
      <xdr:rowOff>15026</xdr:rowOff>
    </xdr:from>
    <xdr:to>
      <xdr:col>10</xdr:col>
      <xdr:colOff>205316</xdr:colOff>
      <xdr:row>34</xdr:row>
      <xdr:rowOff>25401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B618E1B5-8F14-4CA5-8667-9ED271554843}"/>
            </a:ext>
          </a:extLst>
        </xdr:cNvPr>
        <xdr:cNvSpPr/>
      </xdr:nvSpPr>
      <xdr:spPr>
        <a:xfrm>
          <a:off x="1238251" y="3983776"/>
          <a:ext cx="6544732" cy="2497458"/>
        </a:xfrm>
        <a:prstGeom prst="roundRect">
          <a:avLst>
            <a:gd name="adj" fmla="val 4359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201461</xdr:colOff>
      <xdr:row>21</xdr:row>
      <xdr:rowOff>12258</xdr:rowOff>
    </xdr:from>
    <xdr:to>
      <xdr:col>4</xdr:col>
      <xdr:colOff>649818</xdr:colOff>
      <xdr:row>22</xdr:row>
      <xdr:rowOff>25401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2E28E04C-B740-4773-938D-3AA65AAFAEBB}"/>
            </a:ext>
          </a:extLst>
        </xdr:cNvPr>
        <xdr:cNvSpPr txBox="1"/>
      </xdr:nvSpPr>
      <xdr:spPr>
        <a:xfrm>
          <a:off x="1238628" y="3981008"/>
          <a:ext cx="2639107" cy="214226"/>
        </a:xfrm>
        <a:prstGeom prst="rect">
          <a:avLst/>
        </a:prstGeom>
        <a:solidFill>
          <a:srgbClr val="70A8E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ANÁLISE</a:t>
          </a:r>
          <a:endParaRPr lang="pt-BR" sz="1050">
            <a:solidFill>
              <a:schemeClr val="bg1"/>
            </a:solidFill>
            <a:effectLst/>
          </a:endParaRPr>
        </a:p>
      </xdr:txBody>
    </xdr:sp>
    <xdr:clientData/>
  </xdr:twoCellAnchor>
  <xdr:twoCellAnchor editAs="absolute">
    <xdr:from>
      <xdr:col>2</xdr:col>
      <xdr:colOff>232833</xdr:colOff>
      <xdr:row>22</xdr:row>
      <xdr:rowOff>52917</xdr:rowOff>
    </xdr:from>
    <xdr:to>
      <xdr:col>10</xdr:col>
      <xdr:colOff>148166</xdr:colOff>
      <xdr:row>33</xdr:row>
      <xdr:rowOff>1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D4879814-E18D-4C77-A00B-EEADED2579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8</xdr:col>
      <xdr:colOff>603250</xdr:colOff>
      <xdr:row>35</xdr:row>
      <xdr:rowOff>1058</xdr:rowOff>
    </xdr:from>
    <xdr:to>
      <xdr:col>17</xdr:col>
      <xdr:colOff>148167</xdr:colOff>
      <xdr:row>57</xdr:row>
      <xdr:rowOff>137583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BABF5DAA-2DED-4006-828A-98B14A79D5C1}"/>
            </a:ext>
          </a:extLst>
        </xdr:cNvPr>
        <xdr:cNvGrpSpPr/>
      </xdr:nvGrpSpPr>
      <xdr:grpSpPr>
        <a:xfrm>
          <a:off x="5979583" y="6657975"/>
          <a:ext cx="5736167" cy="4465108"/>
          <a:chOff x="1428750" y="6622125"/>
          <a:chExt cx="10451936" cy="2839375"/>
        </a:xfrm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2AEA44D8-4884-190B-EBBA-724BFA1E244A}"/>
              </a:ext>
            </a:extLst>
          </xdr:cNvPr>
          <xdr:cNvSpPr/>
        </xdr:nvSpPr>
        <xdr:spPr>
          <a:xfrm>
            <a:off x="1428750" y="6622125"/>
            <a:ext cx="10361083" cy="2818208"/>
          </a:xfrm>
          <a:prstGeom prst="roundRect">
            <a:avLst>
              <a:gd name="adj" fmla="val 4359"/>
            </a:avLst>
          </a:prstGeom>
          <a:solidFill>
            <a:schemeClr val="tx2">
              <a:lumMod val="10000"/>
              <a:lumOff val="90000"/>
              <a:alpha val="62745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rgbClr val="626262"/>
              </a:solidFill>
              <a:latin typeface="+mn-lt"/>
              <a:ea typeface="+mn-ea"/>
              <a:cs typeface="+mn-cs"/>
            </a:endParaRPr>
          </a:p>
        </xdr:txBody>
      </xdr:sp>
      <mc:AlternateContent xmlns:mc="http://schemas.openxmlformats.org/markup-compatibility/2006">
        <mc:Choice xmlns:cx2="http://schemas.microsoft.com/office/drawing/2015/10/21/chartex" Requires="cx2">
          <xdr:graphicFrame macro="">
            <xdr:nvGraphicFramePr>
              <xdr:cNvPr id="48" name="Gráfico 47">
                <a:extLst>
                  <a:ext uri="{FF2B5EF4-FFF2-40B4-BE49-F238E27FC236}">
                    <a16:creationId xmlns:a16="http://schemas.microsoft.com/office/drawing/2014/main" id="{872EE003-F9B1-25C5-4614-4039BA2123C1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428750" y="6772440"/>
              <a:ext cx="10451936" cy="268906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4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428750" y="6772440"/>
                <a:ext cx="10451936" cy="268906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Este gráfico não está disponível na sua versão de Excel.
Editar esta forma ou salvar esta pasta de trabalho em um formato de arquivo diferente quebrará o gráfico permanentemente.</a:t>
                </a:r>
              </a:p>
            </xdr:txBody>
          </xdr:sp>
        </mc:Fallback>
      </mc:AlternateContent>
    </xdr:grpSp>
    <xdr:clientData/>
  </xdr:twoCellAnchor>
  <xdr:twoCellAnchor editAs="absolute">
    <xdr:from>
      <xdr:col>2</xdr:col>
      <xdr:colOff>264154</xdr:colOff>
      <xdr:row>14</xdr:row>
      <xdr:rowOff>226366</xdr:rowOff>
    </xdr:from>
    <xdr:to>
      <xdr:col>3</xdr:col>
      <xdr:colOff>653739</xdr:colOff>
      <xdr:row>17</xdr:row>
      <xdr:rowOff>4852</xdr:rowOff>
    </xdr:to>
    <xdr:sp macro="" textlink="$Z$6">
      <xdr:nvSpPr>
        <xdr:cNvPr id="21" name="CaixaDeTexto 20">
          <a:extLst>
            <a:ext uri="{FF2B5EF4-FFF2-40B4-BE49-F238E27FC236}">
              <a16:creationId xmlns:a16="http://schemas.microsoft.com/office/drawing/2014/main" id="{5DD2699C-04B6-48C0-992A-48C84BF429C7}"/>
            </a:ext>
          </a:extLst>
        </xdr:cNvPr>
        <xdr:cNvSpPr txBox="1"/>
      </xdr:nvSpPr>
      <xdr:spPr>
        <a:xfrm>
          <a:off x="1301321" y="2914533"/>
          <a:ext cx="1627835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5BEFDA8C-B3FC-4066-B20D-A20E2097E89D}" type="TxLink">
            <a:rPr lang="en-US" sz="1100" b="1" i="0" u="none" strike="noStrike">
              <a:solidFill>
                <a:srgbClr val="6495ED"/>
              </a:solidFill>
              <a:latin typeface="Roboto"/>
              <a:ea typeface="Roboto"/>
              <a:cs typeface="Roboto"/>
            </a:rPr>
            <a:pPr marL="0" indent="0" algn="l"/>
            <a:t>ACOMPANHAMENTO</a:t>
          </a:fld>
          <a:endParaRPr lang="pt-BR" sz="1100" b="1" i="0" u="none" strike="noStrike">
            <a:solidFill>
              <a:srgbClr val="6495ED"/>
            </a:solidFill>
            <a:latin typeface="Roboto"/>
            <a:ea typeface="Roboto"/>
            <a:cs typeface="Roboto"/>
          </a:endParaRPr>
        </a:p>
      </xdr:txBody>
    </xdr:sp>
    <xdr:clientData/>
  </xdr:twoCellAnchor>
  <xdr:twoCellAnchor editAs="absolute">
    <xdr:from>
      <xdr:col>2</xdr:col>
      <xdr:colOff>335718</xdr:colOff>
      <xdr:row>18</xdr:row>
      <xdr:rowOff>2081</xdr:rowOff>
    </xdr:from>
    <xdr:to>
      <xdr:col>3</xdr:col>
      <xdr:colOff>923068</xdr:colOff>
      <xdr:row>20</xdr:row>
      <xdr:rowOff>128981</xdr:rowOff>
    </xdr:to>
    <xdr:sp macro="" textlink="Dados!$C$3">
      <xdr:nvSpPr>
        <xdr:cNvPr id="22" name="CaixaDeTexto 21">
          <a:extLst>
            <a:ext uri="{FF2B5EF4-FFF2-40B4-BE49-F238E27FC236}">
              <a16:creationId xmlns:a16="http://schemas.microsoft.com/office/drawing/2014/main" id="{C6DCD680-C9CF-4A81-AACB-ADDEFE568325}"/>
            </a:ext>
          </a:extLst>
        </xdr:cNvPr>
        <xdr:cNvSpPr txBox="1"/>
      </xdr:nvSpPr>
      <xdr:spPr>
        <a:xfrm>
          <a:off x="1372885" y="3367581"/>
          <a:ext cx="1825600" cy="5290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D143C5D4-DE18-48EC-84F2-60756E49528B}" type="TxLink">
            <a:rPr lang="en-US" sz="1600" b="1" i="0" u="none" strike="noStrike">
              <a:solidFill>
                <a:schemeClr val="tx1"/>
              </a:solidFill>
              <a:effectLst/>
              <a:latin typeface="Roboto"/>
              <a:ea typeface="Roboto"/>
              <a:cs typeface="Roboto"/>
            </a:rPr>
            <a:pPr marL="0" indent="0" algn="r"/>
            <a:t> R$ -   </a:t>
          </a:fld>
          <a:endParaRPr lang="pt-BR" sz="1600" b="1" i="0" u="none" strike="noStrike">
            <a:solidFill>
              <a:schemeClr val="tx1"/>
            </a:solidFill>
            <a:effectLst/>
            <a:latin typeface="Roboto"/>
            <a:ea typeface="Roboto"/>
            <a:cs typeface="Roboto"/>
          </a:endParaRPr>
        </a:p>
      </xdr:txBody>
    </xdr:sp>
    <xdr:clientData/>
  </xdr:twoCellAnchor>
  <xdr:twoCellAnchor editAs="absolute">
    <xdr:from>
      <xdr:col>2</xdr:col>
      <xdr:colOff>213439</xdr:colOff>
      <xdr:row>14</xdr:row>
      <xdr:rowOff>192614</xdr:rowOff>
    </xdr:from>
    <xdr:to>
      <xdr:col>2</xdr:col>
      <xdr:colOff>283664</xdr:colOff>
      <xdr:row>20</xdr:row>
      <xdr:rowOff>97768</xdr:rowOff>
    </xdr:to>
    <xdr:sp macro="" textlink="">
      <xdr:nvSpPr>
        <xdr:cNvPr id="23" name="Forma Livre: Forma 22">
          <a:extLst>
            <a:ext uri="{FF2B5EF4-FFF2-40B4-BE49-F238E27FC236}">
              <a16:creationId xmlns:a16="http://schemas.microsoft.com/office/drawing/2014/main" id="{F565D79F-EB5D-429E-8CA6-9038A4AADC68}"/>
            </a:ext>
          </a:extLst>
        </xdr:cNvPr>
        <xdr:cNvSpPr/>
      </xdr:nvSpPr>
      <xdr:spPr>
        <a:xfrm>
          <a:off x="1250606" y="2880781"/>
          <a:ext cx="70225" cy="984654"/>
        </a:xfrm>
        <a:custGeom>
          <a:avLst/>
          <a:gdLst>
            <a:gd name="connsiteX0" fmla="*/ 59792 w 62851"/>
            <a:gd name="connsiteY0" fmla="*/ 0 h 736357"/>
            <a:gd name="connsiteX1" fmla="*/ 62851 w 62851"/>
            <a:gd name="connsiteY1" fmla="*/ 0 h 736357"/>
            <a:gd name="connsiteX2" fmla="*/ 62851 w 62851"/>
            <a:gd name="connsiteY2" fmla="*/ 736357 h 736357"/>
            <a:gd name="connsiteX3" fmla="*/ 59792 w 62851"/>
            <a:gd name="connsiteY3" fmla="*/ 736357 h 736357"/>
            <a:gd name="connsiteX4" fmla="*/ 0 w 62851"/>
            <a:gd name="connsiteY4" fmla="*/ 676565 h 736357"/>
            <a:gd name="connsiteX5" fmla="*/ 0 w 62851"/>
            <a:gd name="connsiteY5" fmla="*/ 59792 h 736357"/>
            <a:gd name="connsiteX6" fmla="*/ 59792 w 62851"/>
            <a:gd name="connsiteY6" fmla="*/ 0 h 7363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62851" h="736357">
              <a:moveTo>
                <a:pt x="59792" y="0"/>
              </a:moveTo>
              <a:lnTo>
                <a:pt x="62851" y="0"/>
              </a:lnTo>
              <a:lnTo>
                <a:pt x="62851" y="736357"/>
              </a:lnTo>
              <a:lnTo>
                <a:pt x="59792" y="736357"/>
              </a:lnTo>
              <a:cubicBezTo>
                <a:pt x="26770" y="736357"/>
                <a:pt x="0" y="709587"/>
                <a:pt x="0" y="676565"/>
              </a:cubicBezTo>
              <a:lnTo>
                <a:pt x="0" y="59792"/>
              </a:lnTo>
              <a:cubicBezTo>
                <a:pt x="0" y="26770"/>
                <a:pt x="26770" y="0"/>
                <a:pt x="59792" y="0"/>
              </a:cubicBezTo>
              <a:close/>
            </a:path>
          </a:pathLst>
        </a:custGeom>
        <a:solidFill>
          <a:srgbClr val="248E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667625</xdr:colOff>
      <xdr:row>15</xdr:row>
      <xdr:rowOff>24235</xdr:rowOff>
    </xdr:from>
    <xdr:to>
      <xdr:col>4</xdr:col>
      <xdr:colOff>21168</xdr:colOff>
      <xdr:row>17</xdr:row>
      <xdr:rowOff>28688</xdr:rowOff>
    </xdr:to>
    <xdr:pic>
      <xdr:nvPicPr>
        <xdr:cNvPr id="9" name="Gráfico 8" descr="Moedas estrutura de tópicos">
          <a:extLst>
            <a:ext uri="{FF2B5EF4-FFF2-40B4-BE49-F238E27FC236}">
              <a16:creationId xmlns:a16="http://schemas.microsoft.com/office/drawing/2014/main" id="{9E878D7A-6D3A-4BF4-8D6C-161544F25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943042" y="2945235"/>
          <a:ext cx="306043" cy="247870"/>
        </a:xfrm>
        <a:prstGeom prst="rect">
          <a:avLst/>
        </a:prstGeom>
      </xdr:spPr>
    </xdr:pic>
    <xdr:clientData/>
  </xdr:twoCellAnchor>
  <xdr:twoCellAnchor editAs="absolute">
    <xdr:from>
      <xdr:col>4</xdr:col>
      <xdr:colOff>323421</xdr:colOff>
      <xdr:row>14</xdr:row>
      <xdr:rowOff>222132</xdr:rowOff>
    </xdr:from>
    <xdr:to>
      <xdr:col>7</xdr:col>
      <xdr:colOff>162673</xdr:colOff>
      <xdr:row>17</xdr:row>
      <xdr:rowOff>618</xdr:rowOff>
    </xdr:to>
    <xdr:sp macro="" textlink="$Z$9">
      <xdr:nvSpPr>
        <xdr:cNvPr id="14" name="CaixaDeTexto 13">
          <a:extLst>
            <a:ext uri="{FF2B5EF4-FFF2-40B4-BE49-F238E27FC236}">
              <a16:creationId xmlns:a16="http://schemas.microsoft.com/office/drawing/2014/main" id="{B95411AD-8B94-4F51-920D-4F7BCDBE2DC5}"/>
            </a:ext>
          </a:extLst>
        </xdr:cNvPr>
        <xdr:cNvSpPr txBox="1"/>
      </xdr:nvSpPr>
      <xdr:spPr>
        <a:xfrm>
          <a:off x="3551338" y="2910299"/>
          <a:ext cx="1627835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831021D5-0685-4F5E-A3D4-77F27AAF0C3B}" type="TxLink">
            <a:rPr lang="en-US" sz="1100" b="1" i="0" u="none" strike="noStrike">
              <a:solidFill>
                <a:srgbClr val="6495ED"/>
              </a:solidFill>
              <a:latin typeface="Roboto"/>
              <a:ea typeface="Roboto"/>
              <a:cs typeface="Roboto"/>
            </a:rPr>
            <a:pPr marL="0" indent="0" algn="l"/>
            <a:t>MAIOR GASTO</a:t>
          </a:fld>
          <a:endParaRPr lang="pt-BR" sz="1100" b="1" i="0" u="none" strike="noStrike">
            <a:solidFill>
              <a:srgbClr val="6495ED"/>
            </a:solidFill>
            <a:latin typeface="Roboto"/>
            <a:ea typeface="Roboto"/>
            <a:cs typeface="Roboto"/>
          </a:endParaRPr>
        </a:p>
      </xdr:txBody>
    </xdr:sp>
    <xdr:clientData/>
  </xdr:twoCellAnchor>
  <xdr:twoCellAnchor editAs="absolute">
    <xdr:from>
      <xdr:col>4</xdr:col>
      <xdr:colOff>373818</xdr:colOff>
      <xdr:row>17</xdr:row>
      <xdr:rowOff>177764</xdr:rowOff>
    </xdr:from>
    <xdr:to>
      <xdr:col>8</xdr:col>
      <xdr:colOff>51002</xdr:colOff>
      <xdr:row>20</xdr:row>
      <xdr:rowOff>103581</xdr:rowOff>
    </xdr:to>
    <xdr:sp macro="" textlink="Dados!$C$6">
      <xdr:nvSpPr>
        <xdr:cNvPr id="15" name="CaixaDeTexto 14">
          <a:extLst>
            <a:ext uri="{FF2B5EF4-FFF2-40B4-BE49-F238E27FC236}">
              <a16:creationId xmlns:a16="http://schemas.microsoft.com/office/drawing/2014/main" id="{3996A129-0963-42E2-937A-C2FF74A4EA01}"/>
            </a:ext>
          </a:extLst>
        </xdr:cNvPr>
        <xdr:cNvSpPr txBox="1"/>
      </xdr:nvSpPr>
      <xdr:spPr>
        <a:xfrm>
          <a:off x="3601735" y="3342181"/>
          <a:ext cx="1825600" cy="5290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CB06A31-A46B-48B2-AA0A-825EEA296391}" type="TxLink">
            <a:rPr lang="en-US" sz="1600" b="1" i="0" u="none" strike="noStrike">
              <a:solidFill>
                <a:schemeClr val="tx1"/>
              </a:solidFill>
              <a:effectLst/>
              <a:latin typeface="Roboto"/>
              <a:ea typeface="Roboto"/>
              <a:cs typeface="Roboto"/>
            </a:rPr>
            <a:pPr marL="0" indent="0" algn="r"/>
            <a:t> R$ -   </a:t>
          </a:fld>
          <a:endParaRPr lang="pt-BR" sz="1600" b="1" i="0" u="none" strike="noStrike">
            <a:solidFill>
              <a:schemeClr val="tx1"/>
            </a:solidFill>
            <a:effectLst/>
            <a:latin typeface="Roboto"/>
            <a:ea typeface="Roboto"/>
            <a:cs typeface="Roboto"/>
          </a:endParaRPr>
        </a:p>
      </xdr:txBody>
    </xdr:sp>
    <xdr:clientData/>
  </xdr:twoCellAnchor>
  <xdr:twoCellAnchor editAs="absolute">
    <xdr:from>
      <xdr:col>4</xdr:col>
      <xdr:colOff>219789</xdr:colOff>
      <xdr:row>14</xdr:row>
      <xdr:rowOff>177798</xdr:rowOff>
    </xdr:from>
    <xdr:to>
      <xdr:col>4</xdr:col>
      <xdr:colOff>290014</xdr:colOff>
      <xdr:row>20</xdr:row>
      <xdr:rowOff>82952</xdr:rowOff>
    </xdr:to>
    <xdr:sp macro="" textlink="">
      <xdr:nvSpPr>
        <xdr:cNvPr id="16" name="Forma Livre: Forma 15">
          <a:extLst>
            <a:ext uri="{FF2B5EF4-FFF2-40B4-BE49-F238E27FC236}">
              <a16:creationId xmlns:a16="http://schemas.microsoft.com/office/drawing/2014/main" id="{983CC6F1-8A06-482D-806F-09772474E702}"/>
            </a:ext>
          </a:extLst>
        </xdr:cNvPr>
        <xdr:cNvSpPr/>
      </xdr:nvSpPr>
      <xdr:spPr>
        <a:xfrm>
          <a:off x="3447706" y="2865965"/>
          <a:ext cx="70225" cy="984654"/>
        </a:xfrm>
        <a:custGeom>
          <a:avLst/>
          <a:gdLst>
            <a:gd name="connsiteX0" fmla="*/ 59792 w 62851"/>
            <a:gd name="connsiteY0" fmla="*/ 0 h 736357"/>
            <a:gd name="connsiteX1" fmla="*/ 62851 w 62851"/>
            <a:gd name="connsiteY1" fmla="*/ 0 h 736357"/>
            <a:gd name="connsiteX2" fmla="*/ 62851 w 62851"/>
            <a:gd name="connsiteY2" fmla="*/ 736357 h 736357"/>
            <a:gd name="connsiteX3" fmla="*/ 59792 w 62851"/>
            <a:gd name="connsiteY3" fmla="*/ 736357 h 736357"/>
            <a:gd name="connsiteX4" fmla="*/ 0 w 62851"/>
            <a:gd name="connsiteY4" fmla="*/ 676565 h 736357"/>
            <a:gd name="connsiteX5" fmla="*/ 0 w 62851"/>
            <a:gd name="connsiteY5" fmla="*/ 59792 h 736357"/>
            <a:gd name="connsiteX6" fmla="*/ 59792 w 62851"/>
            <a:gd name="connsiteY6" fmla="*/ 0 h 7363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62851" h="736357">
              <a:moveTo>
                <a:pt x="59792" y="0"/>
              </a:moveTo>
              <a:lnTo>
                <a:pt x="62851" y="0"/>
              </a:lnTo>
              <a:lnTo>
                <a:pt x="62851" y="736357"/>
              </a:lnTo>
              <a:lnTo>
                <a:pt x="59792" y="736357"/>
              </a:lnTo>
              <a:cubicBezTo>
                <a:pt x="26770" y="736357"/>
                <a:pt x="0" y="709587"/>
                <a:pt x="0" y="676565"/>
              </a:cubicBezTo>
              <a:lnTo>
                <a:pt x="0" y="59792"/>
              </a:lnTo>
              <a:cubicBezTo>
                <a:pt x="0" y="26770"/>
                <a:pt x="26770" y="0"/>
                <a:pt x="59792" y="0"/>
              </a:cubicBezTo>
              <a:close/>
            </a:path>
          </a:pathLst>
        </a:custGeom>
        <a:solidFill>
          <a:srgbClr val="248E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52488</xdr:colOff>
      <xdr:row>17</xdr:row>
      <xdr:rowOff>109949</xdr:rowOff>
    </xdr:from>
    <xdr:to>
      <xdr:col>8</xdr:col>
      <xdr:colOff>410323</xdr:colOff>
      <xdr:row>18</xdr:row>
      <xdr:rowOff>163602</xdr:rowOff>
    </xdr:to>
    <xdr:sp macro="" textlink="Dados!$B$6">
      <xdr:nvSpPr>
        <xdr:cNvPr id="30" name="CaixaDeTexto 29">
          <a:extLst>
            <a:ext uri="{FF2B5EF4-FFF2-40B4-BE49-F238E27FC236}">
              <a16:creationId xmlns:a16="http://schemas.microsoft.com/office/drawing/2014/main" id="{C2880375-9CAB-4CA6-9CF1-FFD3246C97D1}"/>
            </a:ext>
          </a:extLst>
        </xdr:cNvPr>
        <xdr:cNvSpPr txBox="1"/>
      </xdr:nvSpPr>
      <xdr:spPr>
        <a:xfrm>
          <a:off x="4158821" y="3274366"/>
          <a:ext cx="1627835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89694E76-B4D5-4279-9526-3DDF2CD62CB9}" type="TxLink">
            <a:rPr lang="en-US" sz="1100" b="1" i="0" u="none" strike="noStrike">
              <a:solidFill>
                <a:srgbClr val="248EFF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pPr marL="0" indent="0" algn="l"/>
            <a:t>Sem Registro</a:t>
          </a:fld>
          <a:endParaRPr lang="pt-BR" sz="1100" b="1" i="0" u="none" strike="noStrike">
            <a:solidFill>
              <a:srgbClr val="248EFF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7</xdr:col>
      <xdr:colOff>181749</xdr:colOff>
      <xdr:row>15</xdr:row>
      <xdr:rowOff>21171</xdr:rowOff>
    </xdr:from>
    <xdr:to>
      <xdr:col>8</xdr:col>
      <xdr:colOff>52916</xdr:colOff>
      <xdr:row>17</xdr:row>
      <xdr:rowOff>8754</xdr:rowOff>
    </xdr:to>
    <xdr:pic>
      <xdr:nvPicPr>
        <xdr:cNvPr id="19" name="Gráfico 18" descr="Dólar estrutura de tópicos">
          <a:extLst>
            <a:ext uri="{FF2B5EF4-FFF2-40B4-BE49-F238E27FC236}">
              <a16:creationId xmlns:a16="http://schemas.microsoft.com/office/drawing/2014/main" id="{00D28F7B-D8E3-4A48-88ED-7545C38B4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198249" y="2942171"/>
          <a:ext cx="231000" cy="231000"/>
        </a:xfrm>
        <a:prstGeom prst="rect">
          <a:avLst/>
        </a:prstGeom>
      </xdr:spPr>
    </xdr:pic>
    <xdr:clientData/>
  </xdr:twoCellAnchor>
  <xdr:twoCellAnchor editAs="absolute">
    <xdr:from>
      <xdr:col>8</xdr:col>
      <xdr:colOff>397506</xdr:colOff>
      <xdr:row>15</xdr:row>
      <xdr:rowOff>10467</xdr:rowOff>
    </xdr:from>
    <xdr:to>
      <xdr:col>9</xdr:col>
      <xdr:colOff>808257</xdr:colOff>
      <xdr:row>17</xdr:row>
      <xdr:rowOff>21786</xdr:rowOff>
    </xdr:to>
    <xdr:sp macro="" textlink="$Z$12">
      <xdr:nvSpPr>
        <xdr:cNvPr id="17" name="CaixaDeTexto 16">
          <a:extLst>
            <a:ext uri="{FF2B5EF4-FFF2-40B4-BE49-F238E27FC236}">
              <a16:creationId xmlns:a16="http://schemas.microsoft.com/office/drawing/2014/main" id="{65E42202-091C-40C1-B795-6B48C78C9AF0}"/>
            </a:ext>
          </a:extLst>
        </xdr:cNvPr>
        <xdr:cNvSpPr txBox="1"/>
      </xdr:nvSpPr>
      <xdr:spPr>
        <a:xfrm>
          <a:off x="5773839" y="2931467"/>
          <a:ext cx="1627835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59F0333C-3AB2-46ED-A843-002BE506AF86}" type="TxLink">
            <a:rPr lang="en-US" sz="1100" b="1" i="0" u="none" strike="noStrike">
              <a:solidFill>
                <a:srgbClr val="6495ED"/>
              </a:solidFill>
              <a:latin typeface="Roboto"/>
              <a:ea typeface="Roboto"/>
              <a:cs typeface="Roboto"/>
            </a:rPr>
            <a:pPr marL="0" indent="0" algn="l"/>
            <a:t>ACOMPANHAMENTO</a:t>
          </a:fld>
          <a:endParaRPr lang="pt-BR" sz="1100" b="1" i="0" u="none" strike="noStrike">
            <a:solidFill>
              <a:srgbClr val="6495ED"/>
            </a:solidFill>
            <a:latin typeface="Roboto"/>
            <a:ea typeface="Roboto"/>
            <a:cs typeface="Roboto"/>
          </a:endParaRPr>
        </a:p>
      </xdr:txBody>
    </xdr:sp>
    <xdr:clientData/>
  </xdr:twoCellAnchor>
  <xdr:twoCellAnchor editAs="absolute">
    <xdr:from>
      <xdr:col>8</xdr:col>
      <xdr:colOff>283290</xdr:colOff>
      <xdr:row>14</xdr:row>
      <xdr:rowOff>177798</xdr:rowOff>
    </xdr:from>
    <xdr:to>
      <xdr:col>8</xdr:col>
      <xdr:colOff>353515</xdr:colOff>
      <xdr:row>20</xdr:row>
      <xdr:rowOff>82952</xdr:rowOff>
    </xdr:to>
    <xdr:sp macro="" textlink="">
      <xdr:nvSpPr>
        <xdr:cNvPr id="18" name="Forma Livre: Forma 17">
          <a:extLst>
            <a:ext uri="{FF2B5EF4-FFF2-40B4-BE49-F238E27FC236}">
              <a16:creationId xmlns:a16="http://schemas.microsoft.com/office/drawing/2014/main" id="{7FAE3138-C875-4BFC-9397-578A6201FBF1}"/>
            </a:ext>
          </a:extLst>
        </xdr:cNvPr>
        <xdr:cNvSpPr/>
      </xdr:nvSpPr>
      <xdr:spPr>
        <a:xfrm>
          <a:off x="5659623" y="2865965"/>
          <a:ext cx="70225" cy="984654"/>
        </a:xfrm>
        <a:custGeom>
          <a:avLst/>
          <a:gdLst>
            <a:gd name="connsiteX0" fmla="*/ 59792 w 62851"/>
            <a:gd name="connsiteY0" fmla="*/ 0 h 736357"/>
            <a:gd name="connsiteX1" fmla="*/ 62851 w 62851"/>
            <a:gd name="connsiteY1" fmla="*/ 0 h 736357"/>
            <a:gd name="connsiteX2" fmla="*/ 62851 w 62851"/>
            <a:gd name="connsiteY2" fmla="*/ 736357 h 736357"/>
            <a:gd name="connsiteX3" fmla="*/ 59792 w 62851"/>
            <a:gd name="connsiteY3" fmla="*/ 736357 h 736357"/>
            <a:gd name="connsiteX4" fmla="*/ 0 w 62851"/>
            <a:gd name="connsiteY4" fmla="*/ 676565 h 736357"/>
            <a:gd name="connsiteX5" fmla="*/ 0 w 62851"/>
            <a:gd name="connsiteY5" fmla="*/ 59792 h 736357"/>
            <a:gd name="connsiteX6" fmla="*/ 59792 w 62851"/>
            <a:gd name="connsiteY6" fmla="*/ 0 h 7363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62851" h="736357">
              <a:moveTo>
                <a:pt x="59792" y="0"/>
              </a:moveTo>
              <a:lnTo>
                <a:pt x="62851" y="0"/>
              </a:lnTo>
              <a:lnTo>
                <a:pt x="62851" y="736357"/>
              </a:lnTo>
              <a:lnTo>
                <a:pt x="59792" y="736357"/>
              </a:lnTo>
              <a:cubicBezTo>
                <a:pt x="26770" y="736357"/>
                <a:pt x="0" y="709587"/>
                <a:pt x="0" y="676565"/>
              </a:cubicBezTo>
              <a:lnTo>
                <a:pt x="0" y="59792"/>
              </a:lnTo>
              <a:cubicBezTo>
                <a:pt x="0" y="26770"/>
                <a:pt x="26770" y="0"/>
                <a:pt x="59792" y="0"/>
              </a:cubicBezTo>
              <a:close/>
            </a:path>
          </a:pathLst>
        </a:custGeom>
        <a:solidFill>
          <a:srgbClr val="248E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536803</xdr:colOff>
      <xdr:row>17</xdr:row>
      <xdr:rowOff>192580</xdr:rowOff>
    </xdr:from>
    <xdr:to>
      <xdr:col>10</xdr:col>
      <xdr:colOff>161069</xdr:colOff>
      <xdr:row>20</xdr:row>
      <xdr:rowOff>118397</xdr:rowOff>
    </xdr:to>
    <xdr:sp macro="" textlink="Dados!$C$9">
      <xdr:nvSpPr>
        <xdr:cNvPr id="35" name="CaixaDeTexto 34">
          <a:extLst>
            <a:ext uri="{FF2B5EF4-FFF2-40B4-BE49-F238E27FC236}">
              <a16:creationId xmlns:a16="http://schemas.microsoft.com/office/drawing/2014/main" id="{CE1359D4-00B3-4EA0-88AB-B39803C78B0C}"/>
            </a:ext>
          </a:extLst>
        </xdr:cNvPr>
        <xdr:cNvSpPr txBox="1"/>
      </xdr:nvSpPr>
      <xdr:spPr>
        <a:xfrm>
          <a:off x="5913136" y="3356997"/>
          <a:ext cx="1825600" cy="5290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C06C3A2F-0486-4B8A-A953-9081E7684BDE}" type="TxLink">
            <a:rPr lang="en-US" sz="1600" b="1" i="0" u="none" strike="noStrike">
              <a:solidFill>
                <a:schemeClr val="tx1"/>
              </a:solidFill>
              <a:effectLst/>
              <a:latin typeface="Roboto"/>
              <a:ea typeface="Roboto"/>
              <a:cs typeface="Roboto"/>
            </a:rPr>
            <a:pPr marL="0" indent="0" algn="r"/>
            <a:t> R$ -   </a:t>
          </a:fld>
          <a:endParaRPr lang="pt-BR" sz="1600" b="1" i="0" u="none" strike="noStrike">
            <a:solidFill>
              <a:schemeClr val="tx1"/>
            </a:solidFill>
            <a:effectLst/>
            <a:latin typeface="Roboto"/>
            <a:ea typeface="Roboto"/>
            <a:cs typeface="Roboto"/>
          </a:endParaRPr>
        </a:p>
      </xdr:txBody>
    </xdr:sp>
    <xdr:clientData/>
  </xdr:twoCellAnchor>
  <xdr:twoCellAnchor editAs="absolute">
    <xdr:from>
      <xdr:col>8</xdr:col>
      <xdr:colOff>1093889</xdr:colOff>
      <xdr:row>17</xdr:row>
      <xdr:rowOff>124765</xdr:rowOff>
    </xdr:from>
    <xdr:to>
      <xdr:col>11</xdr:col>
      <xdr:colOff>224057</xdr:colOff>
      <xdr:row>18</xdr:row>
      <xdr:rowOff>178418</xdr:rowOff>
    </xdr:to>
    <xdr:sp macro="" textlink="Dados!$B$9">
      <xdr:nvSpPr>
        <xdr:cNvPr id="36" name="CaixaDeTexto 35">
          <a:extLst>
            <a:ext uri="{FF2B5EF4-FFF2-40B4-BE49-F238E27FC236}">
              <a16:creationId xmlns:a16="http://schemas.microsoft.com/office/drawing/2014/main" id="{21CF4AAC-9C67-4717-8220-18FEC0F28D01}"/>
            </a:ext>
          </a:extLst>
        </xdr:cNvPr>
        <xdr:cNvSpPr txBox="1"/>
      </xdr:nvSpPr>
      <xdr:spPr>
        <a:xfrm>
          <a:off x="6470222" y="3289182"/>
          <a:ext cx="1627835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23BC415C-F20B-4937-802C-1494A3258FAD}" type="TxLink">
            <a:rPr lang="en-US" sz="1100" b="1" i="0" u="none" strike="noStrike">
              <a:solidFill>
                <a:srgbClr val="248EFF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pPr marL="0" indent="0" algn="l"/>
            <a:t>Saúde</a:t>
          </a:fld>
          <a:endParaRPr lang="pt-BR" sz="1100" b="1" i="0" u="none" strike="noStrike">
            <a:solidFill>
              <a:srgbClr val="248EFF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9</xdr:col>
      <xdr:colOff>814920</xdr:colOff>
      <xdr:row>15</xdr:row>
      <xdr:rowOff>21169</xdr:rowOff>
    </xdr:from>
    <xdr:to>
      <xdr:col>10</xdr:col>
      <xdr:colOff>84668</xdr:colOff>
      <xdr:row>17</xdr:row>
      <xdr:rowOff>31750</xdr:rowOff>
    </xdr:to>
    <xdr:pic>
      <xdr:nvPicPr>
        <xdr:cNvPr id="2" name="Gráfico 1" descr="Dinheiro estrutura de tópicos">
          <a:extLst>
            <a:ext uri="{FF2B5EF4-FFF2-40B4-BE49-F238E27FC236}">
              <a16:creationId xmlns:a16="http://schemas.microsoft.com/office/drawing/2014/main" id="{FBD62899-4704-40B1-A1D1-AD8172D07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408337" y="2942169"/>
          <a:ext cx="253998" cy="253998"/>
        </a:xfrm>
        <a:prstGeom prst="rect">
          <a:avLst/>
        </a:prstGeom>
      </xdr:spPr>
    </xdr:pic>
    <xdr:clientData/>
  </xdr:twoCellAnchor>
  <xdr:twoCellAnchor editAs="absolute">
    <xdr:from>
      <xdr:col>2</xdr:col>
      <xdr:colOff>197227</xdr:colOff>
      <xdr:row>34</xdr:row>
      <xdr:rowOff>177358</xdr:rowOff>
    </xdr:from>
    <xdr:to>
      <xdr:col>4</xdr:col>
      <xdr:colOff>645584</xdr:colOff>
      <xdr:row>35</xdr:row>
      <xdr:rowOff>190500</xdr:rowOff>
    </xdr:to>
    <xdr:sp macro="" textlink="">
      <xdr:nvSpPr>
        <xdr:cNvPr id="75" name="CaixaDeTexto 74">
          <a:extLst>
            <a:ext uri="{FF2B5EF4-FFF2-40B4-BE49-F238E27FC236}">
              <a16:creationId xmlns:a16="http://schemas.microsoft.com/office/drawing/2014/main" id="{C21871F2-CF3F-76D5-0EF6-E284CB156D2A}"/>
            </a:ext>
          </a:extLst>
        </xdr:cNvPr>
        <xdr:cNvSpPr txBox="1"/>
      </xdr:nvSpPr>
      <xdr:spPr>
        <a:xfrm>
          <a:off x="1234394" y="6633191"/>
          <a:ext cx="2639107" cy="214226"/>
        </a:xfrm>
        <a:prstGeom prst="rect">
          <a:avLst/>
        </a:prstGeom>
        <a:solidFill>
          <a:srgbClr val="70A8E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GASTO MENSAIS</a:t>
          </a:r>
          <a:endParaRPr lang="pt-BR" b="1">
            <a:solidFill>
              <a:schemeClr val="bg1"/>
            </a:solidFill>
            <a:effectLst/>
          </a:endParaRPr>
        </a:p>
      </xdr:txBody>
    </xdr:sp>
    <xdr:clientData/>
  </xdr:twoCellAnchor>
  <xdr:twoCellAnchor editAs="absolute">
    <xdr:from>
      <xdr:col>8</xdr:col>
      <xdr:colOff>599394</xdr:colOff>
      <xdr:row>34</xdr:row>
      <xdr:rowOff>187943</xdr:rowOff>
    </xdr:from>
    <xdr:to>
      <xdr:col>12</xdr:col>
      <xdr:colOff>317501</xdr:colOff>
      <xdr:row>36</xdr:row>
      <xdr:rowOff>2</xdr:rowOff>
    </xdr:to>
    <xdr:sp macro="" textlink="">
      <xdr:nvSpPr>
        <xdr:cNvPr id="81" name="CaixaDeTexto 80">
          <a:extLst>
            <a:ext uri="{FF2B5EF4-FFF2-40B4-BE49-F238E27FC236}">
              <a16:creationId xmlns:a16="http://schemas.microsoft.com/office/drawing/2014/main" id="{A1C8C18C-E592-6AA6-A206-611D932281FE}"/>
            </a:ext>
          </a:extLst>
        </xdr:cNvPr>
        <xdr:cNvSpPr txBox="1"/>
      </xdr:nvSpPr>
      <xdr:spPr>
        <a:xfrm>
          <a:off x="5975727" y="6643776"/>
          <a:ext cx="2639107" cy="214226"/>
        </a:xfrm>
        <a:prstGeom prst="rect">
          <a:avLst/>
        </a:prstGeom>
        <a:solidFill>
          <a:srgbClr val="70A8E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GASTO POR</a:t>
          </a:r>
          <a:r>
            <a:rPr lang="pt-BR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CATEGORIAS</a:t>
          </a:r>
          <a:endParaRPr lang="pt-BR" b="1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18</xdr:col>
      <xdr:colOff>179917</xdr:colOff>
      <xdr:row>16</xdr:row>
      <xdr:rowOff>69615</xdr:rowOff>
    </xdr:from>
    <xdr:to>
      <xdr:col>20</xdr:col>
      <xdr:colOff>530229</xdr:colOff>
      <xdr:row>19</xdr:row>
      <xdr:rowOff>79142</xdr:rowOff>
    </xdr:to>
    <xdr:grpSp>
      <xdr:nvGrpSpPr>
        <xdr:cNvPr id="79" name="Agrupar 7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7543E80-DFAB-4B47-A970-F51C76EFDE55}"/>
            </a:ext>
          </a:extLst>
        </xdr:cNvPr>
        <xdr:cNvGrpSpPr/>
      </xdr:nvGrpSpPr>
      <xdr:grpSpPr>
        <a:xfrm>
          <a:off x="12234334" y="3032948"/>
          <a:ext cx="1630895" cy="612777"/>
          <a:chOff x="8915400" y="1844440"/>
          <a:chExt cx="1630896" cy="612777"/>
        </a:xfrm>
      </xdr:grpSpPr>
      <xdr:sp macro="" textlink="">
        <xdr:nvSpPr>
          <xdr:cNvPr id="80" name="Retângulo com canto arredondado do mesmo lado 14">
            <a:extLst>
              <a:ext uri="{FF2B5EF4-FFF2-40B4-BE49-F238E27FC236}">
                <a16:creationId xmlns:a16="http://schemas.microsoft.com/office/drawing/2014/main" id="{98468555-52EB-DF29-2BCF-354E083EA6A3}"/>
              </a:ext>
            </a:extLst>
          </xdr:cNvPr>
          <xdr:cNvSpPr/>
        </xdr:nvSpPr>
        <xdr:spPr>
          <a:xfrm rot="5400000">
            <a:off x="9424459" y="1335381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ApagarParcelas" textlink="">
        <xdr:nvSpPr>
          <xdr:cNvPr id="82" name="CaixaDeTexto 81">
            <a:extLst>
              <a:ext uri="{FF2B5EF4-FFF2-40B4-BE49-F238E27FC236}">
                <a16:creationId xmlns:a16="http://schemas.microsoft.com/office/drawing/2014/main" id="{35A8C4AC-2846-2D9E-31F8-7618A63B64C5}"/>
              </a:ext>
            </a:extLst>
          </xdr:cNvPr>
          <xdr:cNvSpPr txBox="1"/>
        </xdr:nvSpPr>
        <xdr:spPr>
          <a:xfrm>
            <a:off x="9337240" y="1946424"/>
            <a:ext cx="105453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Planilha</a:t>
            </a:r>
          </a:p>
        </xdr:txBody>
      </xdr:sp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AEC4BA4C-8C4C-BB0F-684A-7EECAD8BD9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1125" y="1981200"/>
            <a:ext cx="352424" cy="352424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158750</xdr:colOff>
      <xdr:row>11</xdr:row>
      <xdr:rowOff>158750</xdr:rowOff>
    </xdr:from>
    <xdr:to>
      <xdr:col>20</xdr:col>
      <xdr:colOff>509062</xdr:colOff>
      <xdr:row>14</xdr:row>
      <xdr:rowOff>178860</xdr:rowOff>
    </xdr:to>
    <xdr:grpSp>
      <xdr:nvGrpSpPr>
        <xdr:cNvPr id="84" name="Agrupar 8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62931C40-23D1-4A4F-893A-C868C32E5C57}"/>
            </a:ext>
          </a:extLst>
        </xdr:cNvPr>
        <xdr:cNvGrpSpPr/>
      </xdr:nvGrpSpPr>
      <xdr:grpSpPr>
        <a:xfrm>
          <a:off x="12213167" y="2254250"/>
          <a:ext cx="1630895" cy="612777"/>
          <a:chOff x="11555937" y="4382558"/>
          <a:chExt cx="1630896" cy="612777"/>
        </a:xfrm>
      </xdr:grpSpPr>
      <xdr:sp macro="" textlink="">
        <xdr:nvSpPr>
          <xdr:cNvPr id="85" name="Retângulo com canto arredondado do mesmo lado 14">
            <a:extLst>
              <a:ext uri="{FF2B5EF4-FFF2-40B4-BE49-F238E27FC236}">
                <a16:creationId xmlns:a16="http://schemas.microsoft.com/office/drawing/2014/main" id="{58F6C36A-8D29-5A28-62F9-E3B18D559D5E}"/>
              </a:ext>
            </a:extLst>
          </xdr:cNvPr>
          <xdr:cNvSpPr/>
        </xdr:nvSpPr>
        <xdr:spPr>
          <a:xfrm rot="5400000">
            <a:off x="12064996" y="3873499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ApagarParcelas" textlink="">
        <xdr:nvSpPr>
          <xdr:cNvPr id="86" name="CaixaDeTexto 85">
            <a:extLst>
              <a:ext uri="{FF2B5EF4-FFF2-40B4-BE49-F238E27FC236}">
                <a16:creationId xmlns:a16="http://schemas.microsoft.com/office/drawing/2014/main" id="{25E30B80-ADA7-FBD2-ED52-B30EE98374AC}"/>
              </a:ext>
            </a:extLst>
          </xdr:cNvPr>
          <xdr:cNvSpPr txBox="1"/>
        </xdr:nvSpPr>
        <xdr:spPr>
          <a:xfrm>
            <a:off x="12063502" y="4484542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87" name="Imagem 86">
            <a:extLst>
              <a:ext uri="{FF2B5EF4-FFF2-40B4-BE49-F238E27FC236}">
                <a16:creationId xmlns:a16="http://schemas.microsoft.com/office/drawing/2014/main" id="{01C6B7F2-6079-0DAF-B5AD-760B55234D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30000" y="4524655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203635</xdr:colOff>
      <xdr:row>36</xdr:row>
      <xdr:rowOff>190499</xdr:rowOff>
    </xdr:from>
    <xdr:to>
      <xdr:col>8</xdr:col>
      <xdr:colOff>338667</xdr:colOff>
      <xdr:row>56</xdr:row>
      <xdr:rowOff>116416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7A2E2AFD-41E7-4477-B98B-A5E0BC44DF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2</xdr:col>
      <xdr:colOff>864885</xdr:colOff>
      <xdr:row>17</xdr:row>
      <xdr:rowOff>139664</xdr:rowOff>
    </xdr:from>
    <xdr:to>
      <xdr:col>4</xdr:col>
      <xdr:colOff>301970</xdr:colOff>
      <xdr:row>18</xdr:row>
      <xdr:rowOff>193317</xdr:rowOff>
    </xdr:to>
    <xdr:sp macro="" textlink="Dados!$B$3">
      <xdr:nvSpPr>
        <xdr:cNvPr id="25" name="CaixaDeTexto 24">
          <a:extLst>
            <a:ext uri="{FF2B5EF4-FFF2-40B4-BE49-F238E27FC236}">
              <a16:creationId xmlns:a16="http://schemas.microsoft.com/office/drawing/2014/main" id="{40C6D712-0B6C-48BC-B37A-8E88D1C5F75C}"/>
            </a:ext>
          </a:extLst>
        </xdr:cNvPr>
        <xdr:cNvSpPr txBox="1"/>
      </xdr:nvSpPr>
      <xdr:spPr>
        <a:xfrm>
          <a:off x="1902052" y="3304081"/>
          <a:ext cx="1627835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526030E6-FB9A-4CC9-B663-5DD4FE86DF65}" type="TxLink">
            <a:rPr lang="en-US" sz="1100" b="1" i="0" u="none" strike="noStrike">
              <a:solidFill>
                <a:srgbClr val="248EFF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pPr marL="0" indent="0" algn="l"/>
            <a:t>Pets</a:t>
          </a:fld>
          <a:endParaRPr lang="pt-BR" sz="1100" b="1" i="0" u="none" strike="noStrike">
            <a:solidFill>
              <a:srgbClr val="248EFF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6B02DDEC-6F5A-4E1A-857E-EF24B4474F1B}"/>
            </a:ext>
          </a:extLst>
        </xdr:cNvPr>
        <xdr:cNvSpPr/>
      </xdr:nvSpPr>
      <xdr:spPr>
        <a:xfrm>
          <a:off x="600074" y="619125"/>
          <a:ext cx="11412009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1D2487-19E5-4892-96B3-5B2B419EECBD}"/>
            </a:ext>
          </a:extLst>
        </xdr:cNvPr>
        <xdr:cNvSpPr>
          <a:spLocks/>
        </xdr:cNvSpPr>
      </xdr:nvSpPr>
      <xdr:spPr>
        <a:xfrm>
          <a:off x="1338791" y="821267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B54CA99-18DF-4764-B596-583132F9D5FE}"/>
            </a:ext>
          </a:extLst>
        </xdr:cNvPr>
        <xdr:cNvSpPr>
          <a:spLocks/>
        </xdr:cNvSpPr>
      </xdr:nvSpPr>
      <xdr:spPr>
        <a:xfrm>
          <a:off x="1338791" y="1307042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ED97B9-7E7E-4773-B81F-3B495FC9F95C}"/>
            </a:ext>
          </a:extLst>
        </xdr:cNvPr>
        <xdr:cNvSpPr>
          <a:spLocks/>
        </xdr:cNvSpPr>
      </xdr:nvSpPr>
      <xdr:spPr>
        <a:xfrm>
          <a:off x="2757222" y="821267"/>
          <a:ext cx="141181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3F94087-9E4C-41AC-B509-5D6CFE6A656B}"/>
            </a:ext>
          </a:extLst>
        </xdr:cNvPr>
        <xdr:cNvSpPr>
          <a:spLocks/>
        </xdr:cNvSpPr>
      </xdr:nvSpPr>
      <xdr:spPr>
        <a:xfrm>
          <a:off x="2757222" y="1307042"/>
          <a:ext cx="14118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38C4A61-2594-4289-89E1-725C63ED9F1B}"/>
            </a:ext>
          </a:extLst>
        </xdr:cNvPr>
        <xdr:cNvSpPr>
          <a:spLocks/>
        </xdr:cNvSpPr>
      </xdr:nvSpPr>
      <xdr:spPr>
        <a:xfrm>
          <a:off x="4174595" y="821267"/>
          <a:ext cx="141816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9A5F79F-ECEE-4A56-8B2E-9F525F2E67CB}"/>
            </a:ext>
          </a:extLst>
        </xdr:cNvPr>
        <xdr:cNvSpPr>
          <a:spLocks/>
        </xdr:cNvSpPr>
      </xdr:nvSpPr>
      <xdr:spPr>
        <a:xfrm>
          <a:off x="4174595" y="1307042"/>
          <a:ext cx="141816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B491DE0-78D2-4B12-99DA-730C0948595F}"/>
            </a:ext>
          </a:extLst>
        </xdr:cNvPr>
        <xdr:cNvSpPr>
          <a:spLocks/>
        </xdr:cNvSpPr>
      </xdr:nvSpPr>
      <xdr:spPr>
        <a:xfrm>
          <a:off x="5595938" y="821267"/>
          <a:ext cx="141393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5ECC28-67A0-4799-9CCB-322F5CB4EF13}"/>
            </a:ext>
          </a:extLst>
        </xdr:cNvPr>
        <xdr:cNvSpPr>
          <a:spLocks/>
        </xdr:cNvSpPr>
      </xdr:nvSpPr>
      <xdr:spPr>
        <a:xfrm>
          <a:off x="5600699" y="1307042"/>
          <a:ext cx="141393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3DC6D87-2DE3-40BD-A311-50988B777BAB}"/>
            </a:ext>
          </a:extLst>
        </xdr:cNvPr>
        <xdr:cNvSpPr>
          <a:spLocks/>
        </xdr:cNvSpPr>
      </xdr:nvSpPr>
      <xdr:spPr>
        <a:xfrm>
          <a:off x="7014634" y="821267"/>
          <a:ext cx="141922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8BA1F24-3D59-48DF-B9F7-7115E5C36002}"/>
            </a:ext>
          </a:extLst>
        </xdr:cNvPr>
        <xdr:cNvSpPr>
          <a:spLocks/>
        </xdr:cNvSpPr>
      </xdr:nvSpPr>
      <xdr:spPr>
        <a:xfrm>
          <a:off x="7020982" y="1307042"/>
          <a:ext cx="141922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544FACF-095C-4FE9-9364-EE6B38BEC4A5}"/>
            </a:ext>
          </a:extLst>
        </xdr:cNvPr>
        <xdr:cNvSpPr>
          <a:spLocks/>
        </xdr:cNvSpPr>
      </xdr:nvSpPr>
      <xdr:spPr>
        <a:xfrm>
          <a:off x="8438622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E9239BB-7BED-4287-8FD2-AE1083FAF78B}"/>
            </a:ext>
          </a:extLst>
        </xdr:cNvPr>
        <xdr:cNvSpPr>
          <a:spLocks/>
        </xdr:cNvSpPr>
      </xdr:nvSpPr>
      <xdr:spPr>
        <a:xfrm>
          <a:off x="8446557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2DEDF41-C950-41FF-9844-971B2D9EA146}"/>
            </a:ext>
          </a:extLst>
        </xdr:cNvPr>
        <xdr:cNvSpPr>
          <a:spLocks/>
        </xdr:cNvSpPr>
      </xdr:nvSpPr>
      <xdr:spPr>
        <a:xfrm>
          <a:off x="9854141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61996C8E-C0C3-46C0-9230-9E6B48694CFD}"/>
            </a:ext>
          </a:extLst>
        </xdr:cNvPr>
        <xdr:cNvSpPr>
          <a:spLocks/>
        </xdr:cNvSpPr>
      </xdr:nvSpPr>
      <xdr:spPr>
        <a:xfrm>
          <a:off x="9863666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FDDE103B-E3CE-F45E-27B7-CF624909D841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61" name="Retângulo com canto arredondado do mesmo lado 14">
            <a:extLst>
              <a:ext uri="{FF2B5EF4-FFF2-40B4-BE49-F238E27FC236}">
                <a16:creationId xmlns:a16="http://schemas.microsoft.com/office/drawing/2014/main" id="{515562CF-8825-89A7-34E5-DB5DBBB5435C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6020847C-100A-8E07-E221-1E38F58E7402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4" name="Icone Registar" descr="Documento com preenchimento sólido">
            <a:extLst>
              <a:ext uri="{FF2B5EF4-FFF2-40B4-BE49-F238E27FC236}">
                <a16:creationId xmlns:a16="http://schemas.microsoft.com/office/drawing/2014/main" id="{65039035-3CCE-4FE3-567C-C6BE90FC49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95249</xdr:rowOff>
    </xdr:from>
    <xdr:to>
      <xdr:col>2</xdr:col>
      <xdr:colOff>800716</xdr:colOff>
      <xdr:row>128</xdr:row>
      <xdr:rowOff>17549</xdr:rowOff>
    </xdr:to>
    <xdr:grpSp>
      <xdr:nvGrpSpPr>
        <xdr:cNvPr id="40" name="Agrupar 3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2567AA-E2CB-D132-7D04-19F840004C08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32" name="Elipse 31">
            <a:extLst>
              <a:ext uri="{FF2B5EF4-FFF2-40B4-BE49-F238E27FC236}">
                <a16:creationId xmlns:a16="http://schemas.microsoft.com/office/drawing/2014/main" id="{BEFD9389-B2DE-DD5B-5E9E-06AABC95A913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027D7A20-72E9-5460-83D5-1FB03FA087C1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64794443-3458-599D-4165-EBEA32D5AF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48" name="Agrupar 4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B3A9E18-E224-2AC5-52F0-DAC332BD1096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55" name="Retângulo com canto arredondado do mesmo lado 14">
            <a:extLst>
              <a:ext uri="{FF2B5EF4-FFF2-40B4-BE49-F238E27FC236}">
                <a16:creationId xmlns:a16="http://schemas.microsoft.com/office/drawing/2014/main" id="{B10C7DBC-D7B6-7962-7E26-97E2CFD46C1C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113876D7-9DAA-4568-4B60-850ECB785BE5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CD2322CF-6C14-2A98-E3B2-59963D4761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47" name="Agrupar 4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099CD69-926C-654A-F60D-BADF11907FD0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60" name="Retângulo com canto arredondado do mesmo lado 14">
            <a:extLst>
              <a:ext uri="{FF2B5EF4-FFF2-40B4-BE49-F238E27FC236}">
                <a16:creationId xmlns:a16="http://schemas.microsoft.com/office/drawing/2014/main" id="{03B18C38-DA19-4D65-A6A9-2757F828CADF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090746F0-FCE9-5A0F-87B8-9B4C14373D7A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20" name="Gráfico 19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61F91E0B-BCB5-0EB4-B1AA-EE3CF06CF1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3E75B9E7-D1CC-45E5-8D9A-35B681F78C5B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4D2830-5920-433A-B872-525D11F4D7C4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590B79B-6450-460F-B9D7-77238593D59D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CAC7AD-4E6F-490B-8505-B46D8C5DB9E0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402C245-3262-4D3A-B8B6-E1FFD2F25C73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543F0A9-5224-4F9E-A95C-8370D3837E1C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25B8BAB-53B1-4ADB-BFFC-9811B040140D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2FA0A6D-99A3-443F-99C4-3C8877C4F6B3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032DDA6-1F0D-4229-B6DF-A12758D9FA49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6E2667E-06F0-4608-8F34-EE447FC59A39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1F08922-A302-4028-AA95-0E0A513F6723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E4EC4E4-57EB-4976-9D03-3E6D5C43FF89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BC02086-9808-45B4-9AD7-371174A2E01E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F5EA38C-37D8-49FE-A0E1-9EEFD0248F6B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6CD2EDC-F76C-4D04-829E-BB4A982ED3FB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3EF56710-C51A-4BCE-B161-C2BB4024AADF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91EAE6C8-4679-3098-6143-321B1CC8FCF0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62AAAD3E-3E0C-5C7A-5D49-BB4577BB98F9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AB73F04F-1D11-8052-3195-D8F3AE8400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8CF4819-201A-4CBC-B364-E20E8462588E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6DC36E7F-0786-383D-5FE8-CF35501F55DD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5A7FF6D9-2A48-88D5-2696-9403B649A0F3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20B67D99-398D-C3FE-FE61-D2E2D064BF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A061C5A-A34D-495A-8DB4-7A930DFAF873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DFCEAB09-AF2E-42A6-4F73-7FEC5B60CE88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721A29BF-2705-152D-7AD1-26D6A43B7BDF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132AD05-C7A5-9CD1-07F3-8967CC1764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9BE3A8C-FB1B-43BE-94B2-74F55E7B477C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9D553465-7BCB-9D6C-AC98-78AB2B88C4AC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1B57315E-9D15-56DC-2C35-1B1F7D444786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36502A31-7B41-7DD6-4848-F68B4D31C3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9BA441B-9E33-4A0B-A528-4FFE2A865384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07E320-5211-4F44-B389-5853FBAC109C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88162C-1BB8-4801-A19F-938FA47F5173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A2762C-6666-4B10-A6E0-0B8A071F3777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5ADCA5-FCA6-488E-AA33-CFA656823807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E1086F1-2C10-4990-BA74-8821240BC2AC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50CA8E-FD9A-4ADA-AAB3-35672F3E68C1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DED3E41-A0D0-4F93-80BD-C50B6190CB0D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E8E4DFF-1FFB-443B-ABB4-6EA78FE5A560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94A2078-DDFA-4CDD-B9B6-10C4DED65D0F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1AD7823-DDF1-4F1C-8F26-F9A1B2C920DA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FA260AA-F06B-4C34-9473-61C37E0BBDEC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F38163B-C050-4362-A1C0-1DCD92DA1408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94C5515-FD3E-4AEE-8F76-A2BC35FB8861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89A1F14-08C7-4ED8-817A-31602B2507F3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AD4DCC3D-0F1E-4AB5-B795-41ED595B5B34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6A6FCD10-26AD-75EA-AE16-D23845F4989D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B9B93A5B-81D7-FB58-5F0D-CBEDC0CEC518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75555A6D-C12C-57E4-F167-C35334A668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FB8A27A-2F66-4692-A2C4-FBCD1377D785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554B0AEF-CD9C-7F44-2A34-72148493D211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511786EC-9DA1-C056-406D-C8DEA4582F8A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D3A24FE6-67C9-DFEF-7111-CCFFCDD0EE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1C999DD-84B2-443F-84B9-D92F76A2E0A7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63FC02D8-8DFC-82F3-5D75-9E2A509349C5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EA00CBA1-65EA-6CC7-BE05-B004C9BC703C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17ADA4BE-7607-260A-057A-FA6B30ADB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DCB0840-73E4-44DE-AAD5-D600F9EAF166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666A8DEF-E909-467E-93CC-6A4F07CEDAF4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91197683-421B-C93C-11FC-0B5305FC4505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DDAED101-DCFD-9F92-EB6A-B6B3EAC696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BEAC51F4-B101-45C3-9821-BB00D74D0F0A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A26DA2-A882-41B3-9E1E-8C6A972BDB1B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CB1938-1B96-4AD2-89AD-3FE973F5A9A9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1ED0C5-198A-4895-9B37-19B8C4649B08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D3B119-3059-464B-B6A9-FA8C455EC943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D21D3B7-1C4E-4ACF-BD83-5A677D4DF343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A4A089D-0F30-4315-A99D-20E541523CBE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620B00-E67B-4CAB-9A5B-6C60648458C4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489553A-BC4B-4456-B39C-4E5E76E35D08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116CD51-86F7-4DDE-9984-E5B24D7F92B4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2631556-BEF4-4BBC-82C3-33674627E31B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79712AD-9B53-4843-BCA0-6B800EDDDF61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018F593-E034-4FD4-86D7-AE788B0DCD4E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4E689DF-6469-45A9-8568-9105269351BD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A9EEC41-AAEE-4EFB-99C4-808E089D844F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F6438CEF-FDAF-4DBF-B6A0-7AF3E6779AD6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DF807EFC-1623-62CD-0C85-70E04B0B360E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A424BD11-118C-BD45-AE36-AE17573D4D10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851B6834-429D-F1EF-0885-69EA234ADE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336A88C-68F7-422E-A09D-F62399DD1885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10E5D922-A029-4A96-9679-AAA03D6F2FD1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8D6D20F7-00D2-246B-C940-935A62A6A684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EC0DE30D-915F-9A46-B157-0713E272F8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150FD841-6B78-4EFC-8AD7-E5991E9143AF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C4EF3806-B06A-5633-F346-A44746D3058A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ADF961AE-B1D8-662F-07FD-95CE5DBAE7B4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2379D9A8-98DE-A812-5991-E8D9B96EBB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CF95074-BC48-43E7-A1F6-840706532582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A4FC715E-437A-4461-31BC-276DD9D4F481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EF952A2C-8855-758B-323E-03B0640A9D05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4AE0AE88-5197-1056-0C23-01D8FA8FA8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AFD3EA45-6E3E-4A32-8298-C641DA07AB16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C0E13E-EE38-43CA-81C2-36B1A668837F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FB1B82A-4561-4B23-8B2A-C7549F26DF92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F0AFED-7F0B-40E3-9242-0F5F6F6C8319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F676488-83E2-401F-9532-D61894AD041B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28875BD-F9D6-4A1B-BFFA-00308DFBEBCA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3E4DD2A-3D84-43CD-B677-CB459F14A609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A9AD1F0-48BD-4D46-97EA-8FB244172A7E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6FD6AD6-77A7-42DC-9A81-5FCE43449201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1A65A24-1420-4EC8-9DDA-ECCF4B0C498C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27F8F28-1306-4383-A652-C31A32136B7D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A0423C2-5EB4-4BF8-9E51-E86FD99E7DFB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F459153-FB2F-4B8A-89E1-FEA7FD4222A0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CCB1F85-006A-4DF0-AAE5-64CE145BF325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BC82CC9-EC7B-40B3-8446-013AF85897B9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71F01DB0-23E2-4ADF-B295-C1276941EF8E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CF1E7A06-6AAE-7B1E-E628-3D1AE8AD416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85BD0156-9CB0-F974-D70C-3D50CB422F44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18975852-AD84-7056-FA52-3E94C0DDBB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5E3F52F-0736-4BE3-9185-8555E5D26034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6D99B3F5-5265-AAFC-FA2A-4F52D2417E7F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90B14B58-9296-BD6C-F20B-6FC1D61906D5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B6812C76-DB68-2A02-DD83-9304781865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B4744D4-351C-4B62-9FF8-99EAA33F8928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C047B36E-D560-6D8A-2AF6-6F518B977EE8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55652957-CAF6-8FA6-C96C-2443F7FBE371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4CE61EB9-590F-DE54-2EEF-FABA010EAF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E368FEB0-EC23-44B3-ABB9-18E65AB1D7D5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34D94A66-4C47-00C7-ADED-87222AC64072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A3E2C1ED-38F1-06EC-4E74-6B29F2663070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AC29E5BB-DC5F-5A48-7A28-2558CE9682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0EA25F1-0473-4334-9936-41286E3650F1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65F942-EAA6-4F58-A9AF-E7B310601E47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007329-4C5D-45AB-919A-C07E1CC4425A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1CD6B3-32F1-46B2-876F-37399B8A1126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614E80-F420-4ED0-BC49-BC661E0809BE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F289102-0E68-4C17-963B-EDA3685A74FC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6073D1F-A170-45A2-9841-A67C3745A7FC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C9C5716-3529-4C70-A44A-336FE953F8A2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C0E631E-98E9-4728-939C-02965274F59E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7C90F87-362D-4241-B777-8FAA35A023A0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739D384-75C6-4878-9792-F13C7D50502C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9FAD4A2-52FC-45BD-8EE8-1CC8CE6415D8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5261A3F-A9B4-4F43-9EDB-2F75F5CFC22D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A194E07-840D-4B89-B280-F9400C3FD511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600069F0-8664-4E3C-B9B1-C1B9AF0C7DFE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16252451-CAE5-4853-AB9D-ADCF4CDD476B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6C096974-6769-3660-5FFB-82244330F5DB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346EBE2E-D7C2-2421-4F4C-744FF0D8836A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86A5AAB1-1429-0EF9-BF2E-CE73C85BEF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C21D061-6594-4DE7-8915-A7C12C209F9B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A178E19D-7B93-40D0-C4FE-CD306E7E2738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1153348D-F0C0-6ED5-DA19-361997FA1C38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676AF48D-B91F-D717-8FA3-2B23E46CEF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519B2B7-198C-476D-A30D-129BDE1E39AD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EF4F1C96-629F-6FB9-6B30-D411B76F6ABC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939B1AF9-A460-4B66-AFB5-6928B7C7A51E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4D62491-AA8E-F4A2-16F0-FFEDEF8307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50CC243-7D3C-4DD2-8E8F-ABDC8A9C2B5E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D500232A-80D5-BFDB-1020-57BE0127D5CC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7C133CF4-B2AD-67ED-169D-0BE278EA66AB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4A607403-97A9-8C71-0587-9D314DEB16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3608A556-4F2D-47B2-AF5A-9D1DA033B4DC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B27B92-B450-49D3-9AA3-73E56B5BE9C0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31BFF8A-1C76-4224-8A19-E23145F57EC8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9A2F2F-8193-4E59-BB19-88B31E983E09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616D622-9404-49A8-91BD-61E382B96F61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089B849-A102-4882-BF31-F6B3599FE04F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9011A8F-E514-4B22-A005-52EBC8CBAF33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8B234AC-D576-4CBD-B419-65C59839F50E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E561AAC-ED6D-47F3-947D-077798D0888F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83769A3-674F-46A9-8562-A97D38D45A2C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E2776E4-EF35-41E0-AD2B-7E5F21995B8D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05941FF-CAF4-4F55-8F02-6D0F9BA87C04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E952EC8-3C2A-40F0-B45F-694C6E6B288B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F9A9B01F-D3CF-4CC0-854E-88A6827D1111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E4E9368-79AC-4E26-95C8-4CE601E905E8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FA5D2D7E-D698-4DD6-A724-33F5BB858354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BAE1453D-92D0-1AD6-7BB3-045A50A79F0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95C8DFC6-951D-9FFE-6776-041B630EF4D1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91BFA74D-9F60-7EFB-6B02-B346A0570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49DE56-0342-4A05-BEBD-615E4B5D58A0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2531DF5C-CB61-BBB0-5F6B-E11D87C9C900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2C952D67-F3C6-B5A9-0EBA-5AE8F546429F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4DCF7E6F-638E-BC17-EA1A-45A804DE9D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1C639227-CADC-48DB-820A-2075DD8A5A50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DD779366-3830-8032-9F24-279983424111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83663074-6A3B-48BD-766F-198842F36897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A11F06A6-3950-9A17-81EE-F0ACCB8C04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0F61918-69EE-4480-B997-4ED027897B44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41DD22D3-1A6A-3834-F7DE-82F31EDCBD06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8981B18F-3CB5-DEF7-37B5-08537815FA83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97DDAA93-766A-1C0E-EB93-90ABADB855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E9596416-5447-4EE0-9B1F-4926FD69DE85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97E1A2-EE89-4F36-843B-EDE0E470B0BA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C35716E-EA52-41DC-A02B-9A1A77215351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66B0CE-97F6-4451-A7A1-CC0F00006A2C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5446655-D107-4D44-8635-B0AEA56093F9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84A1388-AB7D-47A5-9FFB-7C51259784ED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8683884-40C8-4F12-9936-53D69EFE2E20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EC4F75A-E5FF-4630-ADBB-55422FE352A2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A1F0B8-D7D1-4A9D-A53D-C8F8384DD31F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9387A5F-200E-4B73-842D-03A38D53F86C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EC2DFA3-EA69-483A-8AA3-87035128CE57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A89F871-FB7F-403B-A283-F71E1C6F4C7E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C52F80B-BB65-4E3A-A179-8DF4054DA97F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18918E3-D30B-4CA9-8F18-DAB1DE54397F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92CF72B-B3EA-4318-B870-51106B3528AC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1946DC01-2D84-49C7-8E69-04DB5006A8AB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4FD4B285-DE1F-4ED5-6BE3-6BF6869B009D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4C09C680-D52A-4099-090D-653C8D78D071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3517C806-0E18-D3A6-4007-F603EA7B4F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2C533F3-09B3-49A2-963E-78A689BE071A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88DC0DC7-4370-C9E3-9520-896751C80E79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32181B01-E35E-9620-131A-CA2BE89CE931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A1D8D963-3A59-9268-E7BC-DBCDF3AF43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EC57CFE-62CB-48A2-8D61-5C23BD11088B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735C447B-6310-E934-48E8-16CB1CB94A21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3D04470-9BD7-9DD9-D447-D1A75F997465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8F561D73-4518-866B-86AE-6EB1AA9F74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5EE4166E-13E3-4FC1-B8A7-F296C38676BE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51782FB7-CA3D-13DD-DA89-06EF8D9CA2C0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5FAF7454-C64E-4743-B0D5-B11AE9FEC30C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DBA3E217-A6C7-A73E-D49F-710DB685C3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4ED0BC98-C80C-47CE-A40D-71F356AA9835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4BBC82-1108-492F-8AF4-7F6200C95F3D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F0122B-6EA7-4842-BAAE-DDABBE2EB5A5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3F800A-7695-40BE-8F2B-50669DB45BE8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562170-9971-4FA9-AD1C-DF0895CBD4E7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65CC888-21BC-4D23-819F-01E6C6E104DD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A7F97B8-BAFE-4582-ADC0-298EC162855A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06D5F64-F5AF-4DA4-9BFE-4D0E50FE5A8F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076361D-0A8F-46C8-8217-D4A9586ED042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94CFDC8-F3F4-4960-9ECE-907E856EDDFB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42F51D1-114B-4D95-8340-6D4ECFD1EBE8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3A8E2F9-0057-4A49-9BAC-0FDFC6E72762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506AFFC-9129-45CD-84BE-6064CED44FB5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53E4BC2-89EE-42B4-91E8-33792DBA4742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E307FA0-8131-4750-8B32-EB7BC8C9E8AD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8841C37A-365C-4DC5-9C02-7ACFB766F4ED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6E46200E-A4EC-F8EA-9A14-2F17BECD90EC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8F4DEB53-7C8B-2446-1969-3E475B3ED0B9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9A52DE8C-8DBC-5D5C-B70B-5CA5E7C4D1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D63A59C-1648-4A41-9325-6E421FBF2E0F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4DD39D2A-F567-08E7-174F-BC465C5E2F98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E22B7BA0-A48E-A0BF-76D8-FD3EC7105EF1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955920A1-41B8-EA13-4A77-4E1292D2FD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FB4D883-0B75-4F90-B1C5-013571F97C67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1DD936DA-9046-71F8-3815-1E7792D8083A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3B32526E-69A0-371B-CC37-19CBA867B4BC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A7480A9-B7DA-F85F-E9A8-3B36AA2336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787E50C-C7E4-4581-82D8-474F10B7F33B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4F1DB716-A4BB-2828-FA1E-9B87E41EF7AA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A701C9D3-CC7F-CAAC-3EA3-B4DDD98BC4A1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3F2C3F7D-4654-0C5F-D8D7-1882FAC399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7D94A946-7D1F-4545-AC73-6004140D44FB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689BD6-8B41-4699-8D8D-E8CEA62B5FF7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285683B-2B49-4C8D-BC02-C17709538B54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4B73CE-86A4-4563-9D4F-CCCBD7943FDC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70245F-E6D8-440D-8121-70241BC7A29C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79BB8BE-2F70-472E-81BF-9B9DDA295807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D555D6-345C-4E47-9EFF-89D4050609FF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03E95A7-2169-4A84-926D-80242D772416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0F09DBE-8C17-4A91-8D52-DE1F3AE07A9E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F7DF1D0-B233-4B26-A80E-A035DCAFD729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781AD86-58F7-4119-A3B2-FCDA1EA53D98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68919AA-2D5C-4D75-9758-D699B67823C8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E724EF1-05C8-430F-811A-E7122F46AFED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826C8C5-A1D7-4AA1-B905-BD28D5957088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2B3294A-2C2C-45BF-A855-D2DB27563A12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F1F0D611-0A12-48F7-B66E-1255BE5E2C2B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72EE4B0B-DFCF-B089-67E3-01BE57A4D73F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F886D8D0-1579-3620-1724-C8ED0A73E649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61B4E265-4FA7-F3C0-113F-4C1A97E4B4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A0F998A-2B33-4232-9123-F0EF83DC5CCB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240A3720-4B71-0351-FB75-9500A77E451B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615B9B09-F755-1658-5A6D-26BECB22466C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37424D81-0ECB-3620-F7FA-44766060AF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2A13DE6-B9EB-40AA-93B8-30ED86B42FD2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568FF1FA-F575-84FF-152E-27A0B293A514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FF1241B2-9BFD-962D-E21F-75245C035A48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7C0C18FF-DF3C-0AB0-4203-C79E2072E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85116AE0-B99C-4DF4-A005-AB30361A2308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E79BB438-8FCC-9F49-2FA8-68605EDFC301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48D7CEA5-D09C-2891-3232-7BA753D11FEF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12CF4A9D-D2BD-D21E-AC68-048382F1E4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26DB840B-4DA5-4BF1-9567-E98BC9439C15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779E95-D30A-4D40-B965-B8C5D09F18B2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CC93315-29F1-4323-AB59-1160BB3EDC8B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2B186A-5AA3-4ED6-83F8-EC21EDED52B1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8F1A3F5-2675-43F8-9A71-34CD3B1A3307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D0A8BC1-3A43-4A1C-81BE-11B428D2B356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1D2FC87-A812-4127-AE61-9DBB6EB064F8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36CB5B0-2F5D-4904-A1E2-EF5CABB23A02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7192E71-AA4C-4777-B539-9ABFB3F0E009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75422C9-B3A9-4CC5-A4D5-68BB85D78FB3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94B91EE-EC4F-4A9F-8B88-B281F33AD8D1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3005A7A-A728-4593-A09E-B4FF96853DFC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5001027-36CB-4C24-933C-CEBEA210FA3F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8C5E8E6-257A-4F25-B2D2-B702A6421E1B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1640112-22D9-4109-85E1-B6F1208C83A9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B6F0DBBC-8116-49FA-88C6-92BE52E4E886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F50CAFE9-A5FE-D6E9-0288-9B93A5AE9A89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A7F392E-3A2E-0C82-E0D7-F65A7E69E092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7563883E-02FE-F27D-B8C8-BCF8079C49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40D8BEB-41CC-4CC0-BF91-AD2693BE18B2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61EF2640-FA92-F9CD-2168-ECBF1D597A93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8B939612-AFBE-8DE2-A365-503CD623DF12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8AA113D6-19EC-4F78-F4BA-185CE3417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99D90DB5-627C-458C-8EA8-3C55B4C2EE86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E66A17AA-75CE-71D4-2D30-62FB6FA87FCB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A3B1A332-6EF4-EF62-0D9B-879900146A06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7B7791EC-2AB7-F2A2-A471-836E01B859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6C5024D-F2B9-407F-A430-16DC85013CE1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CCAC1E43-E344-3878-5EEA-D4A4EBC61D5F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ECCEE575-0993-487D-D2AE-71F18BC7470E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C9560C98-6385-C208-FA99-57026A9266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7397AEB-874B-44FC-AAB4-710FB4F8FF44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B783EC-D9BD-45D4-B069-9A7123DF0927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8BA7E28-158C-4B6A-82E1-2D255A475A73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65C8B9-CCCB-4DCD-9152-20155BB19447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DFC1B86-9329-481F-B329-BD96FDBC8C96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64BF57F-219F-447B-92F5-5906EEDFF73B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47FA986-3101-4A7B-986A-B6FFA7CA3A03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A0580AD-3F68-4D8B-A461-2AA2DD51FEA5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562993F-49E9-40BD-BCE7-E050AA5F11EE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EA2CCA0-72DB-499D-B7E7-F4D2561195C9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AFC49DA-F207-4795-BB1C-7B25DEE09224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AC18D88-3A61-437E-93EB-2706BF9B3E9E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94D1405-91EA-40E1-8CB4-909EC952F236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F6835B2D-ED0C-4A10-83ED-C6302E547F48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001C9E1-2D40-4C0E-846E-F7B83BB6D4F2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E8595DC4-B2EF-47E0-8F10-B7EFCC42517E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9A0EC29E-D142-2A7F-B2A0-C35D9E21BD56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2A4D4A1F-EF51-E61A-2E80-F8017B2D941E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64F4F132-C8C8-EABE-2F16-6D3868293B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4F2F1C3-8C9C-4F32-8272-683F203295F3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A6364F58-52AB-EA5F-C9CB-437CF455F592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C8EBBA56-91E9-B785-7299-2FD18DF8DC9A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F35ED457-B04D-00BF-CFC8-BCFCB96A12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0AC2CB0-D3D2-4C3F-B4F0-236A599CF68A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5FC35D96-9023-0DA1-6A1A-311B1F79500A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4F1EC1E-7938-AB39-718F-CF7D0EC3E23A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43F8278A-3A57-2D9D-C538-867A63C48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F31C0B-4E9F-43F7-8EAC-CF3BD9650C76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B72DEFBF-FBF9-4A45-4E88-9E97E759B73D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865E79AD-A791-632C-E508-9F579E37F808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7B6E4834-36E9-F540-D69F-93B61629BD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2C9A522-CE74-4D97-ABF5-55B06D36E800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E390B9-8A48-42D8-8526-13AA6C7E8B39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8E84EF3-32A2-458D-A44C-1BE17E9BAB33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33D0D99-102E-431B-AC43-88383AA31150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F7C4FD2-220E-424A-BC92-FD4BEF0E2A05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4C7FEEF-E8F9-4FE4-BBBC-69362587E99A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ABD627C-587A-4536-B393-3998E411F840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7FAEF58-010B-4BFF-9F66-C767302DBD14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C27B991-537B-46CC-B25B-F3D367D19C93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B9820EC-132E-420A-B030-C2E7D5FFB798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B533C6A-D314-4E86-836E-720DF403446D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C30A6BB-DEFC-48DB-A908-5FE5BF292373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E948101-74D3-4C54-9F4B-26D7B219B7CE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32E7C094-5930-49CE-BA9C-A2A817CADB66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B008613-64EB-48EA-9BAB-13A4D9B7BD9E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86D77AA8-66EF-4AA4-B48C-30B50ABA95AE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5739BFB5-C464-D779-1473-A0FEE4FAF751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FCCB131B-A7A8-11F1-0F18-1949269CFB68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BA3A3002-B924-5FC0-CB41-3921351C9A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4FAEB26-8D0B-4F9B-B225-CE0F4A37FBB3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29358119-4320-30DC-219B-A341E3F6AF3F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7278BA-7E1F-3BB9-8E16-9406C8FCAA71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5F1148B9-869F-7CAF-4D4F-7D2E5B3085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1775B8-EA27-4BB6-A180-9015AF321177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FABE15A9-930E-65BD-6353-FBFB9AC78A80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1418B83-F1CA-ADB8-2663-F68A81F2A6BC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46117768-3ABD-AD48-AB30-2F7E5128D0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EFE6EAAF-4CEC-414F-A36D-5E5D21D40025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BC4C5EBB-5161-72F1-4AB0-29532020D3C7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BB890A8B-83E0-B503-A578-55FA1B11FBAC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D16D116B-D3A2-6E4C-5D62-5B8961A8FC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BBA37FD-8DDA-4D00-8EA7-ED3BB0D123D6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3D9B13-EB2D-4078-A88A-7DEA4B009C5D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7BEC78-F7B6-4048-AC45-59A7C395AA32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42E7D6-EA0A-4546-8C94-7F92BCD5B0B2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FC25393-0E90-4BCC-9469-AE0924408EC3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01E477-EDD7-4FCF-AD95-2CD9643E0A0A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EA485E3-D3ED-4DF9-A5C3-70366C05FBE0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92D29F-F4EB-442E-B2E0-D08AE9CC4387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7B7F195-22E0-4E25-8A43-BB39636C71E9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6F2A40E-4632-47D0-8994-18DF3F94FC03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30F1DD4-DEE5-4222-88E7-07EBEE22ECF5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0F10251-1052-4D21-A73E-F4E58E5A24EF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FEDD6C5-2ECB-4A7D-A9D8-39A9DF7DFC30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235BCE4-DB7D-4E44-A8A5-B536ECA88C99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2E24AAE-DBBE-486B-A88A-43C16ED81AF8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61508D-101C-4084-89E8-CBDBC2E861FA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F2D34510-F86A-D561-C23D-C216D3CC59C4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C36E9954-4D3B-65A9-04DE-E05A9DDD6029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31DDC8E2-56A2-6082-F5CA-17E127B348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08DA21-1975-468F-8651-212378B17CA6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E3095AAF-B540-E94F-86A2-7A2E04912960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69A1B37C-25B3-890A-B043-1260283864D2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D1F97D48-48A3-DB0F-2FFC-FE774A17FF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E52899D-1935-4877-9E90-6D94FB2F8559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438A8F38-C95C-D461-7EF5-9570B872D426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2C55A1C3-C5DE-1389-2A6E-F0343FFEDA9F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4AA8F544-0476-D9AC-DDC2-1012378FDA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133102F-2BF6-4B89-A3B9-8C906F45CFF6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42B3422F-E8AF-C891-D6F4-FF1B47F30572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68F41112-8F40-304E-43ED-F865B1C7050C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43109E21-9B81-372F-BB5B-9641337F15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02682610-9463-4173-BBF4-3A84A371CC60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6B8639-98A0-4713-A1CA-02138EBB7B35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55A266D-AB9F-4376-882E-115B5F78D30E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1DF5C57-E8F8-4D69-B88F-B268DF8508EB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4C8494E-DBDA-4D8B-99B6-55921EB246B1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2598B1E-5872-4949-AE81-2EEBD36FF285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EF40E7E-2554-4EC0-BB18-A3E6CEBA1713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328C068-DA0E-4EB5-B7BF-EB9763BE869B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71C5E71-47E8-4277-9700-F00014DF59CA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9E2AE9B-CAB2-4350-A51A-E8CAC6B57083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8B19D5B-F01F-46BF-B002-D2605B831735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8EB821B-C7DC-444E-B8D2-6FF7F96E4EC0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2EC209D-632A-4DEB-AC67-1A46B0918CF4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07C3808-8BC3-4774-9928-B293FE58323E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EB6C147-A819-4EA7-989B-9CE331B1AD15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ABC2A4C5-07D5-4C48-A6AD-4BC40977D713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309F4F55-4DE9-1CD8-7B78-0CB577D1E60B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6331408D-8FA3-950F-D540-047052054CAC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4EC67D80-24E4-B977-C54E-C2B5C0B2AA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71EB92B-C264-4829-A370-80C9CB5B9E8F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ED0CE7A8-EEAF-BD71-378E-94C1C93BC10F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45CAF9B7-2EE8-0AF1-4B9D-FC71BE3A150B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14548EBB-99A3-C3D2-75B5-255930CC73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D7A9D39-A9B3-4E00-9FC9-05F1EC9BFB33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D07BE057-FC79-4CF4-C4FE-339DC4380234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518C06EB-34C3-8B91-BDA6-B8CB0D666B25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6AE4E8F-C256-4B9C-6153-96D8063D8A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1A6AC90-D9D3-4E6B-966B-A55FB1511371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EE81EE89-2A03-2E8B-197B-853B04C2B16B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2D875C31-B14E-40A6-D6FF-AEF1941FA284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6F5D1A4A-98E6-F6C8-CD4B-BD06D74924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6B68356A-21B6-485D-BA5D-97888D3F2482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5C80F9-0CDA-4F7C-AD44-A0E8B07930EE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F982FD5-5FD3-43E9-9E2F-2475BE11E57A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0BFE35B-C23D-452C-ACA4-157DDFF0CC90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D759DFD-E5B2-4483-90E9-BB677722E94A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8A4E71D-0A3F-4E9D-BBA8-ECDBBE1F7C2F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6A4C7B0-2A63-416E-83FD-2AA5A8F0C3EB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C32E5CC-125E-42C3-8223-39DD6051BE78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D3C3255-56B1-447E-8AC7-B077B6BAEA35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C7FC331-452A-4000-807C-D6CE7C3190EA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7DA80B5-918A-4FCD-B404-40CB01645B78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885AE99-9456-4EC9-8595-3E98B253670B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32FAB53-5229-410E-98EC-48E0FFE85F59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F0E97A8-3948-49AE-A2A1-6B2C050C0DD8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3BA0CB2-F22A-439E-AB59-BE6FF821CF1A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F52F8FC-A3EC-4E00-A347-2AF450A400ED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DA24E84D-7F15-1836-C538-6C7B668FED5D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9A5D10E-0C2C-AB7E-5A6A-CE2696CF1B3E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AF8A8110-10B5-4AAD-A9B7-F97898D8A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C7B004C-B022-4C47-8861-71009DE94404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67588945-4C15-38E5-5FA2-A3F77915708C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2D08AF9-D779-65FC-82DD-989B3A1EFD3F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A206131F-C856-C4FA-6C00-83BF3E0D86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99C8C2A0-06ED-4DA5-8A1F-FD8D21E4F0D9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FB208662-E7A9-26F3-DB07-0A8A287E6768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8A5274DC-D1E0-A21F-783D-EA9B12FB1462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FAAA6AF7-6238-D365-01B7-7926743AF5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D79CCE5-4413-45FA-8967-7D4160D7C24C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D64E92C8-EB3D-C784-6E02-D871F52D52AB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E72BEA44-B03C-2DC5-2D88-B3F68576C59B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C0133F48-ECE0-58EB-BE6A-B5CD6FEDEE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42E06C10-2A5A-4918-B5D1-F55157AD8EAD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21C2DF-22E0-46AF-B99A-9E10FEB32EEE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A5565A-9329-4BBE-8E30-003F02840FED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481296-3806-43FA-BBC1-44256ECAD362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591133C-37F0-4784-813E-7E12F07B5199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00C6097-1EC2-4976-8D83-35E46F881698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3D9DB7F-B51C-4719-A85F-FDCC0CA7D407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1000335-3F9A-4E38-BD04-7493EBD3B581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C0525C2-10DE-42B6-912B-32A03EEDFB73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C340C7D-6F48-4C45-8788-0D8730F26B76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8090BF7-1D43-4D96-93DE-183418347EEC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D7EC9C8-B140-40C5-AF2D-FE03BCF2BCA8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FE5348A-E712-41B5-A8CD-CD2A3A31A9E3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39BC19F-2919-42C6-B983-7116FC915AB8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48998B8-4D97-4BED-BC8E-D7D22EBEC722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9937DBCD-917B-42AD-AB16-60774286297F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F4419E19-19C3-0FC8-EA3B-403D7583DA7E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151A8896-C1B4-E08E-A38D-37CE011BBBDC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BCE1097C-5765-ED70-3E19-35C44FE033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693A5E0-AECA-46D9-98CF-DE451AE752CB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6CA9042C-1A84-380B-2EEE-0FFCF0A26C3A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C46F4E7D-6A7F-9ED7-CB39-149649E8DCB7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87F1C307-8EE8-5DDD-7BE2-8F755BF5B1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627BF2E-B5C8-455A-B1C3-5129E445C015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7DB2FE4D-81AA-CCDB-9053-88E68345FD11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5A47A015-7189-2B37-2814-996175D98C9B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A7EB3BE7-E48B-625A-290D-8D40F6D257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539F3BEA-0CB3-4D96-AFB1-B160F7A2895D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55500FB1-93A5-7540-586F-FD2039ED7A2B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6FAD2974-1FFF-A498-293B-4B870C0DCC87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259E94FB-1D41-152E-270E-9614E44542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78F5D185-E3ED-4BD7-BD36-9F96AEE5121F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066B76-1394-4D79-B19E-73034EF62C01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C31CF0D-A99E-4D78-B05F-D933B3846D84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C028712-59C0-41AD-B9E4-31DDA8A7FE87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6C4FD4-EF23-47FC-9981-F9EFB656CDFE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BC8AA46-1D11-4420-84BB-0B9F587F8BC0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1A07D7F-9E88-455D-9DDB-20EA71F99119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DFBBC46-B124-4515-BB7D-C7A3F680716B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EC5E09E-EEAF-4F6A-8AD2-5C6E1FD1ED8C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7357345-DDD8-4338-8BC7-8C2B10F73710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DE80955-90A9-4E8B-A7AD-E5E584F4FE65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F5F0D0C-226B-4ABC-A9C0-7DF14A32E300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0CE7A27-C5F6-489F-87B0-CBD2BFC3B090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11625EF-8F87-41E2-BC03-C2C80C23EF8A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BFB45D8-582A-4761-9162-C5F16256F651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2EE99B2C-E804-4524-AECD-40079E237626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B24F2556-6F09-1CEF-4407-5E6B37C99616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778C1D9F-879A-FCAB-CD07-A4867765D0FA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1CC157BD-64F3-ACFB-EE0C-76FDFD1750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812BAC1-EB79-40CF-B83F-FAF82917D21D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3B8F033B-BD6C-2959-8CEE-F6F98ED3D381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E48E1AC1-E242-570A-9D4B-CC3D797F250B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836D2334-DFC6-D599-28D1-12175E7781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6D5C663-23C8-46CA-BE64-37D230790ECB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9184F21A-BB70-9659-D453-D86B9635BC8C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AE9F327-2D4A-DBA3-067E-E59829DC8C2B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F9DE9665-5481-1772-FF78-E6B31FD4FB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CE4EF6E-5392-4FA8-B3FB-A0E3C697BE8A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709025ED-4E3E-9A38-2F32-45A2A859B670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1C92FB96-B207-9C7F-B4E8-D6E85690C937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F0F7AC68-0F00-5AA3-9C00-53F5CBB793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8B5EE56F-56A0-42E0-AD20-BCBD15C463A6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A1B24A1-72A7-4597-821D-42F014C0A450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0F87772-5D3A-4A94-934F-5D8F7EDEE70D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48CD404-9E2F-462E-BC5B-250886D42B7C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85FC227-A873-4A3E-800C-4923A2CE8347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41D3B60-65A0-4F58-9596-128F842B9A56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C89DD8-0FEC-49DD-8F38-D0CDC5F8F849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A0382C6-3B99-4A7B-B198-A8B5AC9BD932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4ABE4E7-8962-4438-8664-FC16E503E7E3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F602A98-38BE-4194-9D9A-B58C32D6750E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F16B05D-5EB3-462E-9231-32EE141FB78C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EF88B17-267B-4EDD-B5A5-8CF44FF902D8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C8351A5-4300-45E7-81DA-1F83CE869D5C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14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AB78CF-B151-4E9F-A977-EAB27D5853E6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14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A6333F8-D218-4E8E-88DE-A73A9F284495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B18760CC-E8BD-4610-BEBB-C5780E32C03B}"/>
            </a:ext>
          </a:extLst>
        </xdr:cNvPr>
        <xdr:cNvGrpSpPr/>
      </xdr:nvGrpSpPr>
      <xdr:grpSpPr>
        <a:xfrm>
          <a:off x="128153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BC6258CD-FC74-BF0D-9D04-A09758E76BAD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B809569D-E184-40C0-7DEE-B9E1D76ED5AE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443FB4E9-3686-2B02-AD0D-BDADB1AAE8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90269A9-E68D-4041-A675-E477BCA193BE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A4C678C2-3D89-FECE-B7A8-3427E9600B22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5238CD21-5066-05DA-4310-0A05D6C06317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A9495BA5-9E29-7D58-13C2-79C76A72EA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4819766-9CDE-4513-9C2F-5022E1816AEC}"/>
            </a:ext>
          </a:extLst>
        </xdr:cNvPr>
        <xdr:cNvGrpSpPr/>
      </xdr:nvGrpSpPr>
      <xdr:grpSpPr>
        <a:xfrm>
          <a:off x="128153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9DDDBD49-DDC7-1C87-EE17-E71ADC9D1617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7DE402F2-BD97-6491-FB0A-A337E296B7D8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1D095145-CF30-EF83-A4F0-9C502363D4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C9BD9535-7323-4E15-AF91-A419033A79FB}"/>
            </a:ext>
          </a:extLst>
        </xdr:cNvPr>
        <xdr:cNvGrpSpPr/>
      </xdr:nvGrpSpPr>
      <xdr:grpSpPr>
        <a:xfrm>
          <a:off x="128153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F1FE16B7-854E-5CBE-1B77-63B741374F79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3E1CF189-C703-E65C-3F90-765946D3B15D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DF639F1-97E5-8FCC-F78D-3965361DA8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74AEC54-F479-4487-A682-2C0E67B18D39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2C9F2B-2916-4E3A-9C3A-2CD501EF09DC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63D8F8F-7866-4FA5-A3C6-32025DF468E2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D6C1674-60D8-4BB5-BDAB-6770C24FA2C0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C5C0F07-EFE5-4F88-84BB-BB5B80C0EA63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5B5ED85-6F90-4EC6-A7A6-C304820E5634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CDAF9BE-C04C-40C2-B661-13B0A1095AC2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5E1094D-C586-4F92-B2D0-9A886123B64F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376226A-1FE4-41D2-A809-8DE39F8E2690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1544B1E-B2D7-4B13-A174-FF6B84C4F817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BEB2FC6-CEB7-4A05-A9FE-B766D6849CA0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0303757-548F-42B9-8573-75C0B8C4E321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602FF61-BA84-4651-8D7F-92CD702BD6D5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CB13E96-C76C-44A4-8043-4BC2C52B66B6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F51633D-DE88-4346-9631-237BD4773B8D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2DD5C7B0-9288-4F30-8542-AAC39C076E1F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319339C8-1D3E-6331-FB5D-87EAFB4F1C40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BF366350-AD48-7B42-381F-468408EAA525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E6DB54A6-CC99-E4D4-7370-4B6600D86F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5FE356F-326C-40EE-AF4E-9DF9EE4CE785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C091BC82-6572-8C41-1C95-2822FB5E7973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9B429620-9086-06D4-8C7D-CDBBDF4F0C01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DD852E3C-3CFF-7375-AEA8-B28E296AE7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24D2AD66-869A-47CF-A6CB-C10A2E8E13A7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8B750BC5-E67A-2251-0266-668EED1DA3EA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4A08C737-064D-C3D8-9E0C-13E61000B2E1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32E9913F-5D02-9464-0C64-E197D71D9F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F0799E2-06B7-47DF-8BBA-51E526A7A81D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812C5F29-B0C0-4B40-468E-CDC5DB49D5CB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467E120D-FCEF-C82E-059C-6C80EE92A15B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FF4B4E2A-659F-DE7D-008B-1BC6F36E58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F2029BDD-5732-4648-8515-207D224620BE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1E6F88-DAF8-43BC-801C-56F817E347B7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41D4880-F96A-4B40-BD82-24C0BCDC4020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A451F8-562C-4DBF-8F18-2B9A3521F093}"/>
            </a:ext>
          </a:extLst>
        </xdr:cNvPr>
        <xdr:cNvSpPr>
          <a:spLocks/>
        </xdr:cNvSpPr>
      </xdr:nvSpPr>
      <xdr:spPr>
        <a:xfrm>
          <a:off x="2757222" y="821267"/>
          <a:ext cx="14118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F2C47BE-42CA-4620-803B-3F44A5ED270D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B3B8C43-27AB-46BF-A719-A8D965BDA94D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F6510B1-1F9D-46F7-9712-6D2BA01DAC0E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AA089F2-14BD-4C64-B865-BF71FD54E7DC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D1B9087-09DC-4136-AB18-BE8ECC41DD0D}"/>
            </a:ext>
          </a:extLst>
        </xdr:cNvPr>
        <xdr:cNvSpPr>
          <a:spLocks/>
        </xdr:cNvSpPr>
      </xdr:nvSpPr>
      <xdr:spPr>
        <a:xfrm>
          <a:off x="5600699" y="1307042"/>
          <a:ext cx="1413933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32FC82D-AAAE-4FF4-9765-E0F5152E6CDF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A80470E-F6A6-4E24-8820-67C22B04D22C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EC3B7D3-1EE3-4C55-8BCD-4C445282E91E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C5B8E78-49A4-4FFF-95FB-5A71C9B163E0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96FE71D-56B2-4350-9AC4-CEA84B2095A3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F642F72-2C99-45C7-8E9B-338CCE9D4C17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65A34264-D767-4D51-BC26-B0FC1650814E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F74B5E12-1E69-4AF3-EAFA-7EBB7C728991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37D49849-5A7B-F5B0-249C-364ACFC5655F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1E41ECDF-85EB-2FC6-4EA6-7D41358A65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D554444-FB26-4FDD-892A-3DBC8A6760AC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79F568A8-F703-3223-2461-7FD1E6FFA58D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CC3B5E23-777F-4BD2-D302-7816F37BBC20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27C81921-725A-87B7-A145-A966378355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2EF8B0E-859C-4F69-B939-77E15EFDE7BA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A782D41D-49B3-5DBC-C62D-D52FEC1FB7F4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B90C6ACD-50A3-C96D-E65E-B7A8A29E6A55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3509412A-C3A2-4277-7451-72EBBC423A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4719F18-58A9-4512-AFBE-5662E70E817F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40CD3016-252E-1F43-C9CC-4E1ED30ECF0E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734AFD19-8DBE-C23E-C75D-D0EA58809294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A490AFD0-A12B-2CBD-CE25-2B2568D49D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302FFEA-81B8-4091-AC3F-A9B5ABDC0082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C123A6-2C1C-4B24-8C66-689F5B32B115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01EA5C-1CA4-4A89-A682-BA9BF20EABC0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09FCF09-6E1D-495E-8649-E7A5D88E41EE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2D972-41E1-4421-B140-D2587FCDA389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BE9D1B9-A839-4636-A57E-C7114B0676ED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0ACCA94-E650-4158-8A60-FC7087303D80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B961ABD-847D-4D83-8119-1D6DF31EFAE2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9069863-D649-453F-BBDE-DD4740BD6A6F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574D59A-981F-40ED-94E8-0E5920E01BFC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CDB5681-CC67-4ABE-9AEE-2551F62F3F93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4C125B-396F-409D-8447-8254385EFA67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ED1153B-65C0-45B1-B258-8048DE82380E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7B5E525-26C0-4BCD-AF68-97985E9F3FA0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5A56AC5B-E2CD-4109-AFA7-ACDE5C70827C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1BCB87FF-3C8A-4EF6-B163-783CB724408F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58749BB3-39D6-5699-1BEF-AD35E209D1A0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7711E819-F2DE-9978-3DBC-15CC087EE96F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59FCBCFD-B6E2-6F4D-BD94-2D799FCB8B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5FD5853-0CA5-4922-82FA-1F23D1FF797F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3A77863E-977D-78A5-4A2C-12609E4D50C1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6F59FB46-C2AF-DED2-E0A8-AD75384C9EDC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D14195BD-F832-1675-D613-5B596A3294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344A5158-CE7B-43A1-ADD1-CB2BF592625C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6A7EA4B3-9458-A70D-F73C-1970A3CD604F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A6670A5B-5AC2-23EF-45CF-5FC4173E849A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488329F8-CC79-D3C3-9447-1647CD19ED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81840C3-2D72-406D-ACCE-65589056C4D0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FE891E44-50DF-F733-48FB-3A78A0E610A0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0B9F7B66-EB2C-B8A2-7A15-DA77C05DC320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DCEEB888-B058-5ECC-2EEC-D1354D1930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7577961D-FC82-4071-8547-36A5BB767FFB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06F084-3A6F-4F0E-8931-B8D1905F2DC6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02C630F-2B4C-447E-BCEE-113EA8151AA9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CA25B39-09D8-455D-9B6A-A8325115E40F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14A7BCA-CDC1-424D-AADF-78DC26876D9D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99333D-EFB3-41D2-9A12-B098FD8B3ECE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357C66B-FD91-4EAB-B5B6-8AB3948B1C8A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B13B39C-3F0A-4DE6-94A6-52D55319557D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E7BD9D3-0162-41C5-A30D-91172DF1CCA2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2B32541-9B56-47A5-8983-E50157816161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4F8929E-3A86-4593-840A-641DB37DFA1A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8875BFF-4F5E-446D-9029-2D66A44BB0ED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F6A5096-8B8F-4679-9038-7176AA01E275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93EE58C-1E27-4FDC-A063-B51A5588618B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47B679E-D268-4658-BDB6-9A6844DC03D0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7536D69B-18D8-4025-9B06-1B6B68FA8A94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F2067C5F-CD19-CA57-DB45-FE45D4E32B30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61BE2FCF-41EF-7B36-3FF1-FDDF8F046C00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076A99AB-C926-CB30-525E-5FDCC2ED88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906EA6C-8F76-45EE-9399-8198E3152615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1F04B659-0D8F-6B81-35E4-9AD20FE88805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7AB251D6-E320-1F6A-5824-272DAFEF878A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F7062B2D-8DB6-34F7-A8D4-04A64B927E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A87993D-5D61-4A7B-9910-ED55AAB63A78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DABA946F-79DA-B3AD-290B-3BE9C84322C7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606E32C5-4088-E88D-792D-5DCC5A9A7C3F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3EB8F91F-81B5-6027-201A-AC4D918FE2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ED8A7DBF-890A-4756-89DD-D6E1B38005D9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681D22E3-E27C-2F27-A646-3CE0AA70FD76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3E8F5F48-59C3-0F97-8CCA-04955FE6E246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CDDE459A-2408-C9B4-2273-64490845F1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47625</xdr:rowOff>
    </xdr:from>
    <xdr:to>
      <xdr:col>17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007DC20B-1364-42AF-845B-1FF07DCE490C}"/>
            </a:ext>
          </a:extLst>
        </xdr:cNvPr>
        <xdr:cNvSpPr/>
      </xdr:nvSpPr>
      <xdr:spPr>
        <a:xfrm>
          <a:off x="600074" y="619125"/>
          <a:ext cx="115824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301624</xdr:colOff>
      <xdr:row>4</xdr:row>
      <xdr:rowOff>59267</xdr:rowOff>
    </xdr:from>
    <xdr:to>
      <xdr:col>3</xdr:col>
      <xdr:colOff>476249</xdr:colOff>
      <xdr:row>6</xdr:row>
      <xdr:rowOff>154517</xdr:rowOff>
    </xdr:to>
    <xdr:sp macro="" textlink="">
      <xdr:nvSpPr>
        <xdr:cNvPr id="3" name="Fluxograma: Processo Alternativ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E4D040-2E77-4F4F-9524-F722DEB63150}"/>
            </a:ext>
          </a:extLst>
        </xdr:cNvPr>
        <xdr:cNvSpPr>
          <a:spLocks/>
        </xdr:cNvSpPr>
      </xdr:nvSpPr>
      <xdr:spPr>
        <a:xfrm>
          <a:off x="1330324" y="821267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 editAs="absolute">
    <xdr:from>
      <xdr:col>2</xdr:col>
      <xdr:colOff>301624</xdr:colOff>
      <xdr:row>6</xdr:row>
      <xdr:rowOff>164042</xdr:rowOff>
    </xdr:from>
    <xdr:to>
      <xdr:col>3</xdr:col>
      <xdr:colOff>476249</xdr:colOff>
      <xdr:row>9</xdr:row>
      <xdr:rowOff>68792</xdr:rowOff>
    </xdr:to>
    <xdr:sp macro="" textlink="">
      <xdr:nvSpPr>
        <xdr:cNvPr id="4" name="Fluxograma: Processo Alternativ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9DB5B03-0EBD-4375-AF52-B2EF5471CF48}"/>
            </a:ext>
          </a:extLst>
        </xdr:cNvPr>
        <xdr:cNvSpPr>
          <a:spLocks/>
        </xdr:cNvSpPr>
      </xdr:nvSpPr>
      <xdr:spPr>
        <a:xfrm>
          <a:off x="1330324" y="1307042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 editAs="absolute">
    <xdr:from>
      <xdr:col>3</xdr:col>
      <xdr:colOff>481805</xdr:colOff>
      <xdr:row>4</xdr:row>
      <xdr:rowOff>59267</xdr:rowOff>
    </xdr:from>
    <xdr:to>
      <xdr:col>5</xdr:col>
      <xdr:colOff>62705</xdr:colOff>
      <xdr:row>6</xdr:row>
      <xdr:rowOff>154517</xdr:rowOff>
    </xdr:to>
    <xdr:sp macro="" textlink="">
      <xdr:nvSpPr>
        <xdr:cNvPr id="5" name="Fluxograma: Processo Alternativ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06BF15-F007-4CFB-A517-6BBD52CB9393}"/>
            </a:ext>
          </a:extLst>
        </xdr:cNvPr>
        <xdr:cNvSpPr>
          <a:spLocks/>
        </xdr:cNvSpPr>
      </xdr:nvSpPr>
      <xdr:spPr>
        <a:xfrm>
          <a:off x="2748755" y="821267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 editAs="absolute">
    <xdr:from>
      <xdr:col>3</xdr:col>
      <xdr:colOff>481805</xdr:colOff>
      <xdr:row>6</xdr:row>
      <xdr:rowOff>164042</xdr:rowOff>
    </xdr:from>
    <xdr:to>
      <xdr:col>5</xdr:col>
      <xdr:colOff>62705</xdr:colOff>
      <xdr:row>9</xdr:row>
      <xdr:rowOff>68792</xdr:rowOff>
    </xdr:to>
    <xdr:sp macro="" textlink="">
      <xdr:nvSpPr>
        <xdr:cNvPr id="6" name="Fluxograma: Processo Alternativ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70139DF-E784-45E6-882A-E30CCD814965}"/>
            </a:ext>
          </a:extLst>
        </xdr:cNvPr>
        <xdr:cNvSpPr>
          <a:spLocks/>
        </xdr:cNvSpPr>
      </xdr:nvSpPr>
      <xdr:spPr>
        <a:xfrm>
          <a:off x="2748755" y="1307042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 editAs="absolute">
    <xdr:from>
      <xdr:col>5</xdr:col>
      <xdr:colOff>68262</xdr:colOff>
      <xdr:row>4</xdr:row>
      <xdr:rowOff>59267</xdr:rowOff>
    </xdr:from>
    <xdr:to>
      <xdr:col>8</xdr:col>
      <xdr:colOff>216429</xdr:colOff>
      <xdr:row>6</xdr:row>
      <xdr:rowOff>154517</xdr:rowOff>
    </xdr:to>
    <xdr:sp macro="" textlink="">
      <xdr:nvSpPr>
        <xdr:cNvPr id="7" name="Fluxograma: Processo Alternativ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9C0D962-9A5B-4F7B-B67B-FE3DB762829C}"/>
            </a:ext>
          </a:extLst>
        </xdr:cNvPr>
        <xdr:cNvSpPr>
          <a:spLocks/>
        </xdr:cNvSpPr>
      </xdr:nvSpPr>
      <xdr:spPr>
        <a:xfrm>
          <a:off x="4164012" y="821267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 editAs="absolute">
    <xdr:from>
      <xdr:col>5</xdr:col>
      <xdr:colOff>68262</xdr:colOff>
      <xdr:row>6</xdr:row>
      <xdr:rowOff>164042</xdr:rowOff>
    </xdr:from>
    <xdr:to>
      <xdr:col>8</xdr:col>
      <xdr:colOff>216429</xdr:colOff>
      <xdr:row>9</xdr:row>
      <xdr:rowOff>68792</xdr:rowOff>
    </xdr:to>
    <xdr:sp macro="" textlink="">
      <xdr:nvSpPr>
        <xdr:cNvPr id="8" name="Fluxograma: Processo Alternativ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60D5E1-717A-4F03-ADBC-CBF6420A0FD2}"/>
            </a:ext>
          </a:extLst>
        </xdr:cNvPr>
        <xdr:cNvSpPr>
          <a:spLocks/>
        </xdr:cNvSpPr>
      </xdr:nvSpPr>
      <xdr:spPr>
        <a:xfrm>
          <a:off x="4164012" y="1307042"/>
          <a:ext cx="141499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 editAs="absolute">
    <xdr:from>
      <xdr:col>8</xdr:col>
      <xdr:colOff>219605</xdr:colOff>
      <xdr:row>4</xdr:row>
      <xdr:rowOff>59267</xdr:rowOff>
    </xdr:from>
    <xdr:to>
      <xdr:col>9</xdr:col>
      <xdr:colOff>236538</xdr:colOff>
      <xdr:row>6</xdr:row>
      <xdr:rowOff>154517</xdr:rowOff>
    </xdr:to>
    <xdr:sp macro="" textlink="">
      <xdr:nvSpPr>
        <xdr:cNvPr id="9" name="Fluxograma: Processo Alternativ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95A33C-3CE1-478D-817A-9B9B9D8070E7}"/>
            </a:ext>
          </a:extLst>
        </xdr:cNvPr>
        <xdr:cNvSpPr>
          <a:spLocks/>
        </xdr:cNvSpPr>
      </xdr:nvSpPr>
      <xdr:spPr>
        <a:xfrm>
          <a:off x="5582180" y="821267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 editAs="absolute">
    <xdr:from>
      <xdr:col>8</xdr:col>
      <xdr:colOff>224366</xdr:colOff>
      <xdr:row>6</xdr:row>
      <xdr:rowOff>164042</xdr:rowOff>
    </xdr:from>
    <xdr:to>
      <xdr:col>9</xdr:col>
      <xdr:colOff>241299</xdr:colOff>
      <xdr:row>9</xdr:row>
      <xdr:rowOff>68792</xdr:rowOff>
    </xdr:to>
    <xdr:sp macro="" textlink="">
      <xdr:nvSpPr>
        <xdr:cNvPr id="10" name="Fluxograma: Processo Alternativ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BC9C011-0F2C-4BC6-A02B-9F41CF27375B}"/>
            </a:ext>
          </a:extLst>
        </xdr:cNvPr>
        <xdr:cNvSpPr>
          <a:spLocks/>
        </xdr:cNvSpPr>
      </xdr:nvSpPr>
      <xdr:spPr>
        <a:xfrm>
          <a:off x="5586941" y="1307042"/>
          <a:ext cx="141710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 editAs="absolute">
    <xdr:from>
      <xdr:col>9</xdr:col>
      <xdr:colOff>241301</xdr:colOff>
      <xdr:row>4</xdr:row>
      <xdr:rowOff>59267</xdr:rowOff>
    </xdr:from>
    <xdr:to>
      <xdr:col>10</xdr:col>
      <xdr:colOff>676276</xdr:colOff>
      <xdr:row>6</xdr:row>
      <xdr:rowOff>154517</xdr:rowOff>
    </xdr:to>
    <xdr:sp macro="" textlink="">
      <xdr:nvSpPr>
        <xdr:cNvPr id="11" name="Fluxograma: Processo Alternativ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7BFB40B-4BB2-4074-BD34-AB0F99C7882B}"/>
            </a:ext>
          </a:extLst>
        </xdr:cNvPr>
        <xdr:cNvSpPr>
          <a:spLocks/>
        </xdr:cNvSpPr>
      </xdr:nvSpPr>
      <xdr:spPr>
        <a:xfrm>
          <a:off x="7004051" y="821267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 editAs="absolute">
    <xdr:from>
      <xdr:col>9</xdr:col>
      <xdr:colOff>247649</xdr:colOff>
      <xdr:row>6</xdr:row>
      <xdr:rowOff>164042</xdr:rowOff>
    </xdr:from>
    <xdr:to>
      <xdr:col>10</xdr:col>
      <xdr:colOff>682624</xdr:colOff>
      <xdr:row>9</xdr:row>
      <xdr:rowOff>68792</xdr:rowOff>
    </xdr:to>
    <xdr:sp macro="" textlink="">
      <xdr:nvSpPr>
        <xdr:cNvPr id="12" name="Fluxograma: Processo Alternativo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93D2A89-48E9-499C-9E12-21F874D137AB}"/>
            </a:ext>
          </a:extLst>
        </xdr:cNvPr>
        <xdr:cNvSpPr>
          <a:spLocks/>
        </xdr:cNvSpPr>
      </xdr:nvSpPr>
      <xdr:spPr>
        <a:xfrm>
          <a:off x="7010399" y="1307042"/>
          <a:ext cx="141605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 editAs="absolute">
    <xdr:from>
      <xdr:col>10</xdr:col>
      <xdr:colOff>681039</xdr:colOff>
      <xdr:row>4</xdr:row>
      <xdr:rowOff>59267</xdr:rowOff>
    </xdr:from>
    <xdr:to>
      <xdr:col>12</xdr:col>
      <xdr:colOff>472548</xdr:colOff>
      <xdr:row>6</xdr:row>
      <xdr:rowOff>154517</xdr:rowOff>
    </xdr:to>
    <xdr:sp macro="" textlink="">
      <xdr:nvSpPr>
        <xdr:cNvPr id="13" name="Fluxograma: Processo Alternativo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A567A8B-C959-44A5-BDBE-21522ABF03A0}"/>
            </a:ext>
          </a:extLst>
        </xdr:cNvPr>
        <xdr:cNvSpPr>
          <a:spLocks/>
        </xdr:cNvSpPr>
      </xdr:nvSpPr>
      <xdr:spPr>
        <a:xfrm>
          <a:off x="8424864" y="821267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 editAs="absolute">
    <xdr:from>
      <xdr:col>10</xdr:col>
      <xdr:colOff>688974</xdr:colOff>
      <xdr:row>6</xdr:row>
      <xdr:rowOff>164042</xdr:rowOff>
    </xdr:from>
    <xdr:to>
      <xdr:col>12</xdr:col>
      <xdr:colOff>480483</xdr:colOff>
      <xdr:row>9</xdr:row>
      <xdr:rowOff>68792</xdr:rowOff>
    </xdr:to>
    <xdr:sp macro="" textlink="">
      <xdr:nvSpPr>
        <xdr:cNvPr id="14" name="Fluxograma: Processo Alternativo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66D0F0A-D7E6-4AFC-A9E5-BFA13D2A2E1E}"/>
            </a:ext>
          </a:extLst>
        </xdr:cNvPr>
        <xdr:cNvSpPr>
          <a:spLocks/>
        </xdr:cNvSpPr>
      </xdr:nvSpPr>
      <xdr:spPr>
        <a:xfrm>
          <a:off x="8432799" y="1307042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 editAs="absolute">
    <xdr:from>
      <xdr:col>12</xdr:col>
      <xdr:colOff>477308</xdr:colOff>
      <xdr:row>4</xdr:row>
      <xdr:rowOff>59267</xdr:rowOff>
    </xdr:from>
    <xdr:to>
      <xdr:col>15</xdr:col>
      <xdr:colOff>225424</xdr:colOff>
      <xdr:row>6</xdr:row>
      <xdr:rowOff>154517</xdr:rowOff>
    </xdr:to>
    <xdr:sp macro="" textlink="">
      <xdr:nvSpPr>
        <xdr:cNvPr id="15" name="Fluxograma: Processo Alternativ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4F37865-BD8F-4DEF-ABFA-D1B332CF8337}"/>
            </a:ext>
          </a:extLst>
        </xdr:cNvPr>
        <xdr:cNvSpPr>
          <a:spLocks/>
        </xdr:cNvSpPr>
      </xdr:nvSpPr>
      <xdr:spPr>
        <a:xfrm>
          <a:off x="9840383" y="821267"/>
          <a:ext cx="141499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 editAs="absolute">
    <xdr:from>
      <xdr:col>12</xdr:col>
      <xdr:colOff>486833</xdr:colOff>
      <xdr:row>6</xdr:row>
      <xdr:rowOff>164042</xdr:rowOff>
    </xdr:from>
    <xdr:to>
      <xdr:col>15</xdr:col>
      <xdr:colOff>234949</xdr:colOff>
      <xdr:row>9</xdr:row>
      <xdr:rowOff>68792</xdr:rowOff>
    </xdr:to>
    <xdr:sp macro="" textlink="">
      <xdr:nvSpPr>
        <xdr:cNvPr id="16" name="Fluxograma: Processo Alternativ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396038E-5973-42C2-8392-7E6609DF9736}"/>
            </a:ext>
          </a:extLst>
        </xdr:cNvPr>
        <xdr:cNvSpPr>
          <a:spLocks/>
        </xdr:cNvSpPr>
      </xdr:nvSpPr>
      <xdr:spPr>
        <a:xfrm>
          <a:off x="9849908" y="1307042"/>
          <a:ext cx="141499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 editAs="oneCell">
    <xdr:from>
      <xdr:col>16</xdr:col>
      <xdr:colOff>210604</xdr:colOff>
      <xdr:row>10</xdr:row>
      <xdr:rowOff>173211</xdr:rowOff>
    </xdr:from>
    <xdr:to>
      <xdr:col>18</xdr:col>
      <xdr:colOff>550332</xdr:colOff>
      <xdr:row>14</xdr:row>
      <xdr:rowOff>20810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153C610B-922A-4537-B702-5B3761210180}"/>
            </a:ext>
          </a:extLst>
        </xdr:cNvPr>
        <xdr:cNvGrpSpPr/>
      </xdr:nvGrpSpPr>
      <xdr:grpSpPr>
        <a:xfrm>
          <a:off x="11735854" y="207821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18" name="Retângulo com canto arredondado do mesmo lado 14">
            <a:extLst>
              <a:ext uri="{FF2B5EF4-FFF2-40B4-BE49-F238E27FC236}">
                <a16:creationId xmlns:a16="http://schemas.microsoft.com/office/drawing/2014/main" id="{4DF433E9-2B23-D473-9100-1393F2BCDBAF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32BD1A7F-DC78-C66B-9C43-1806E816E49E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20" name="Icone Registar" descr="Documento com preenchimento sólido">
            <a:extLst>
              <a:ext uri="{FF2B5EF4-FFF2-40B4-BE49-F238E27FC236}">
                <a16:creationId xmlns:a16="http://schemas.microsoft.com/office/drawing/2014/main" id="{D2AD9CF9-1651-0FF8-B4CF-016284A54A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349250</xdr:colOff>
      <xdr:row>123</xdr:row>
      <xdr:rowOff>116415</xdr:rowOff>
    </xdr:from>
    <xdr:to>
      <xdr:col>2</xdr:col>
      <xdr:colOff>800716</xdr:colOff>
      <xdr:row>128</xdr:row>
      <xdr:rowOff>38715</xdr:rowOff>
    </xdr:to>
    <xdr:grpSp>
      <xdr:nvGrpSpPr>
        <xdr:cNvPr id="21" name="Agrupar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9467394-D619-4A50-A62E-93E6A8E686EB}"/>
            </a:ext>
          </a:extLst>
        </xdr:cNvPr>
        <xdr:cNvGrpSpPr/>
      </xdr:nvGrpSpPr>
      <xdr:grpSpPr>
        <a:xfrm>
          <a:off x="963083" y="23759582"/>
          <a:ext cx="874800" cy="874800"/>
          <a:chOff x="814917" y="18584332"/>
          <a:chExt cx="874800" cy="874800"/>
        </a:xfrm>
      </xdr:grpSpPr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79230F13-3855-3FD3-E0F0-B850B4602856}"/>
              </a:ext>
            </a:extLst>
          </xdr:cNvPr>
          <xdr:cNvSpPr/>
        </xdr:nvSpPr>
        <xdr:spPr>
          <a:xfrm>
            <a:off x="814917" y="18584332"/>
            <a:ext cx="874800" cy="874800"/>
          </a:xfrm>
          <a:prstGeom prst="ellipse">
            <a:avLst/>
          </a:prstGeom>
          <a:solidFill>
            <a:srgbClr val="6495ED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pt-BR" sz="2400" b="1">
              <a:solidFill>
                <a:schemeClr val="bg2">
                  <a:lumMod val="50000"/>
                </a:schemeClr>
              </a:solidFill>
              <a:latin typeface="Nyala" panose="02000504070300020003" pitchFamily="2" charset="0"/>
              <a:ea typeface="+mn-ea"/>
              <a:cs typeface="+mn-cs"/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BF6775D3-FF63-D15A-DB49-DAC70FF5156D}"/>
              </a:ext>
            </a:extLst>
          </xdr:cNvPr>
          <xdr:cNvSpPr txBox="1"/>
        </xdr:nvSpPr>
        <xdr:spPr>
          <a:xfrm>
            <a:off x="956671" y="18992852"/>
            <a:ext cx="591292" cy="31009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lvl="0"/>
            <a:r>
              <a:rPr lang="pt-BR" sz="14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Topo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38425955-2BD8-56E3-2E17-A4FA6759A7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984" y="18732501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14</xdr:row>
      <xdr:rowOff>132347</xdr:rowOff>
    </xdr:from>
    <xdr:to>
      <xdr:col>18</xdr:col>
      <xdr:colOff>560917</xdr:colOff>
      <xdr:row>17</xdr:row>
      <xdr:rowOff>173624</xdr:rowOff>
    </xdr:to>
    <xdr:grpSp>
      <xdr:nvGrpSpPr>
        <xdr:cNvPr id="25" name="Agrupar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4DC2722-25DC-42B0-9E6E-43DFF6AE61B5}"/>
            </a:ext>
          </a:extLst>
        </xdr:cNvPr>
        <xdr:cNvGrpSpPr/>
      </xdr:nvGrpSpPr>
      <xdr:grpSpPr>
        <a:xfrm>
          <a:off x="11735854" y="2799347"/>
          <a:ext cx="1630896" cy="612777"/>
          <a:chOff x="11735854" y="2799347"/>
          <a:chExt cx="1630896" cy="612777"/>
        </a:xfrm>
      </xdr:grpSpPr>
      <xdr:sp macro="" textlink="">
        <xdr:nvSpPr>
          <xdr:cNvPr id="26" name="Retângulo com canto arredondado do mesmo lado 14">
            <a:extLst>
              <a:ext uri="{FF2B5EF4-FFF2-40B4-BE49-F238E27FC236}">
                <a16:creationId xmlns:a16="http://schemas.microsoft.com/office/drawing/2014/main" id="{A6307A68-BC17-AAF6-8F9A-ADC4AD3E9083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E2B0DA5D-812C-2E99-5BBF-480EEE6A20C1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CAD4AC34-6B58-59D2-50FE-A49132F15C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210604</xdr:colOff>
      <xdr:row>18</xdr:row>
      <xdr:rowOff>94660</xdr:rowOff>
    </xdr:from>
    <xdr:to>
      <xdr:col>18</xdr:col>
      <xdr:colOff>539749</xdr:colOff>
      <xdr:row>21</xdr:row>
      <xdr:rowOff>122176</xdr:rowOff>
    </xdr:to>
    <xdr:grpSp>
      <xdr:nvGrpSpPr>
        <xdr:cNvPr id="29" name="Agrupar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EA042AD-3E79-4055-ADA4-17DF8D126584}"/>
            </a:ext>
          </a:extLst>
        </xdr:cNvPr>
        <xdr:cNvGrpSpPr/>
      </xdr:nvGrpSpPr>
      <xdr:grpSpPr>
        <a:xfrm>
          <a:off x="11735854" y="3523660"/>
          <a:ext cx="1609728" cy="609599"/>
          <a:chOff x="11757022" y="3523660"/>
          <a:chExt cx="1609728" cy="609599"/>
        </a:xfrm>
      </xdr:grpSpPr>
      <xdr:sp macro="" textlink="">
        <xdr:nvSpPr>
          <xdr:cNvPr id="30" name="Retângulo com canto arredondado do mesmo lado 14">
            <a:extLst>
              <a:ext uri="{FF2B5EF4-FFF2-40B4-BE49-F238E27FC236}">
                <a16:creationId xmlns:a16="http://schemas.microsoft.com/office/drawing/2014/main" id="{B2D5B362-C2E6-9499-E846-2092A0089C18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68B07B5E-A935-5C20-0ED3-AF777B043C37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32" name="Gráfico 31" descr="Gráfico de barras com tendência ascendente com preenchimento sólido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7292645-9677-E700-0F37-495BC723DC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BA77C039-358F-4C0D-BB02-EE5CFF63FFDA}" sourceName="Ano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es1" xr10:uid="{97474221-81BF-4579-BBB4-13223A96D638}" sourceName="Meses">
  <extLst>
    <x:ext xmlns:x15="http://schemas.microsoft.com/office/spreadsheetml/2010/11/main" uri="{2F2917AC-EB37-4324-AD4E-5DD8C200BD13}">
      <x15:tableSlicerCache tableId="1" column="20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" xr10:uid="{43049BE3-AC0B-43C3-A56F-593AFF1BDC4A}" cache="SegmentaçãodeDados_Ano" caption="Ano" rowHeight="257175"/>
  <slicer name="Meses 1" xr10:uid="{A9AB3733-8BCA-457D-B6D9-C973F631E766}" cache="SegmentaçãodeDados_Meses1" caption="Meses" columnCount="12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6" xr10:uid="{A4516C60-08DF-4F60-A9D9-08B8155603A0}" cache="SegmentaçãodeDados_Ano" caption="Ano" lockedPosition="1" rowHeight="396000"/>
  <slicer name="Meses 3" xr10:uid="{EE5BD393-8850-4044-994E-F0CD44667377}" cache="SegmentaçãodeDados_Meses1" caption="Meses" columnCount="12" lockedPosition="1" rowHeight="396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86ED7E-83B0-4497-B51F-E454DA5663B7}" name="Tabela1" displayName="Tabela1" ref="B33:W58" totalsRowShown="0" headerRowDxfId="914" dataDxfId="913" tableBorderDxfId="912" dataCellStyle="Moeda">
  <autoFilter ref="B33:W58" xr:uid="{0721060D-8685-4746-8A42-B28E3A64E97F}"/>
  <tableColumns count="22">
    <tableColumn id="1" xr3:uid="{CC6B2205-ABD5-4B43-9222-D2FCDD3E48F3}" name="Ano" dataDxfId="911"/>
    <tableColumn id="20" xr3:uid="{49E3B632-681C-4F89-8343-9CC890E23AFC}" name="Meses" dataDxfId="910"/>
    <tableColumn id="2" xr3:uid="{BFDA8DCF-8AB8-45D2-B3CB-6BF85942FA67}" name="Meses2" dataDxfId="909"/>
    <tableColumn id="3" xr3:uid="{5E416EBC-4047-4A64-9E2D-17E619F957E0}" name="Coluna 4" dataDxfId="908" dataCellStyle="Moeda"/>
    <tableColumn id="4" xr3:uid="{B575DEEF-D20B-428F-B743-608433147B19}" name="Coluna 5" dataDxfId="907" dataCellStyle="Moeda"/>
    <tableColumn id="5" xr3:uid="{85A053E5-01A5-4FB0-9881-47131C78F747}" name="Coluna 6" dataDxfId="906" dataCellStyle="Moeda"/>
    <tableColumn id="6" xr3:uid="{8D22A19B-23CD-4AC1-B736-7C7012DC7728}" name="Coluna 7" dataDxfId="905" dataCellStyle="Moeda"/>
    <tableColumn id="7" xr3:uid="{06E5C8D1-B402-4BF1-AF05-1DE06B8596BC}" name="Coluna 8" dataDxfId="904" dataCellStyle="Moeda"/>
    <tableColumn id="8" xr3:uid="{1A5CA225-60B1-45D2-A3F0-4F050A150FDD}" name="Coluna 9" dataDxfId="903" dataCellStyle="Moeda"/>
    <tableColumn id="9" xr3:uid="{E869000F-BF44-4E75-8CD1-9C9249FD4228}" name="Coluna 10" dataDxfId="902" dataCellStyle="Moeda"/>
    <tableColumn id="10" xr3:uid="{82277107-5035-482F-8542-BE37DD39B522}" name="Coluna 11" dataDxfId="901" dataCellStyle="Moeda"/>
    <tableColumn id="11" xr3:uid="{E918BC2D-1349-4642-84CA-0E727B52F0AC}" name="Coluna 12" dataDxfId="900" dataCellStyle="Moeda"/>
    <tableColumn id="12" xr3:uid="{8A15245C-2229-4DCD-B72D-88A5436C0963}" name="Coluna 13" dataDxfId="899" dataCellStyle="Moeda"/>
    <tableColumn id="13" xr3:uid="{A992E6AD-4664-47AE-89DC-1C36C544C687}" name="Coluna 14" dataDxfId="898" dataCellStyle="Moeda"/>
    <tableColumn id="14" xr3:uid="{21CFFD81-66B2-40BC-9212-1BDC5353EEAD}" name="Coluna 15" dataDxfId="897" dataCellStyle="Moeda"/>
    <tableColumn id="15" xr3:uid="{849CBEA4-7079-49CB-B0B0-5FF71A19507D}" name="Coluna 16" dataDxfId="896" dataCellStyle="Moeda"/>
    <tableColumn id="16" xr3:uid="{302B963D-CFEE-4CE2-A21A-CA3E36C59951}" name="Coluna 17" dataDxfId="895" dataCellStyle="Moeda"/>
    <tableColumn id="17" xr3:uid="{FD5379E8-F102-43B8-84BC-8661E426F5AC}" name="Coluna 18" dataDxfId="894" dataCellStyle="Moeda"/>
    <tableColumn id="27" xr3:uid="{97B06C91-FF54-461C-B6A3-145D394A74B0}" name="Coluna 182" dataDxfId="893" dataCellStyle="Moeda"/>
    <tableColumn id="28" xr3:uid="{3448B8E7-66DE-4F52-8F43-EE762A6B6BB7}" name="Coluna 183" dataDxfId="892" dataCellStyle="Moeda"/>
    <tableColumn id="29" xr3:uid="{A7640554-7B3B-4273-8546-05339AB6E7D6}" name="Coluna 184" dataDxfId="891" dataCellStyle="Moeda"/>
    <tableColumn id="18" xr3:uid="{51FDB259-B8B6-4C72-9153-5B8D39C4EA7D}" name="Coluna 19" dataDxfId="890" dataCellStyle="Moeda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1060D-8685-4746-8A42-B28E3A64E97F}">
  <sheetPr codeName="Planilha1"/>
  <dimension ref="B1:AC58"/>
  <sheetViews>
    <sheetView showGridLines="0" zoomScale="90" zoomScaleNormal="90" workbookViewId="0">
      <selection activeCell="F6" sqref="F6"/>
    </sheetView>
  </sheetViews>
  <sheetFormatPr defaultColWidth="9.140625" defaultRowHeight="15" x14ac:dyDescent="0.25"/>
  <cols>
    <col min="1" max="1" width="9.140625" style="57"/>
    <col min="2" max="2" width="14.7109375" style="56" bestFit="1" customWidth="1"/>
    <col min="3" max="3" width="13.5703125" style="56" customWidth="1"/>
    <col min="4" max="4" width="13.42578125" style="57" bestFit="1" customWidth="1"/>
    <col min="5" max="5" width="16.7109375" style="57" bestFit="1" customWidth="1"/>
    <col min="6" max="6" width="14.42578125" style="57" bestFit="1" customWidth="1"/>
    <col min="7" max="7" width="13.7109375" style="57" bestFit="1" customWidth="1"/>
    <col min="8" max="8" width="17.28515625" style="57" bestFit="1" customWidth="1"/>
    <col min="9" max="9" width="20.28515625" style="57" bestFit="1" customWidth="1"/>
    <col min="10" max="10" width="15.85546875" style="57" bestFit="1" customWidth="1"/>
    <col min="11" max="12" width="14.42578125" style="57" bestFit="1" customWidth="1"/>
    <col min="13" max="13" width="17.7109375" style="57" bestFit="1" customWidth="1"/>
    <col min="14" max="14" width="14.42578125" style="57" bestFit="1" customWidth="1"/>
    <col min="15" max="15" width="19.7109375" style="57" bestFit="1" customWidth="1"/>
    <col min="16" max="19" width="14.42578125" style="57" bestFit="1" customWidth="1"/>
    <col min="20" max="22" width="14.42578125" style="57" customWidth="1"/>
    <col min="23" max="23" width="16.5703125" style="57" bestFit="1" customWidth="1"/>
    <col min="24" max="25" width="13.28515625" style="57" bestFit="1" customWidth="1"/>
    <col min="26" max="26" width="13.42578125" style="57" customWidth="1"/>
    <col min="27" max="27" width="9.85546875" style="57" bestFit="1" customWidth="1"/>
    <col min="28" max="29" width="9.140625" style="57"/>
    <col min="30" max="30" width="15.140625" style="57" bestFit="1" customWidth="1"/>
    <col min="31" max="31" width="17.5703125" style="57" customWidth="1"/>
    <col min="32" max="32" width="13.85546875" style="57" customWidth="1"/>
    <col min="33" max="16384" width="9.140625" style="57"/>
  </cols>
  <sheetData>
    <row r="1" spans="2:22" ht="82.5" customHeight="1" x14ac:dyDescent="0.25"/>
    <row r="2" spans="2:22" x14ac:dyDescent="0.25">
      <c r="B2" s="111" t="s">
        <v>86</v>
      </c>
      <c r="C2" s="112"/>
      <c r="J2" s="58"/>
    </row>
    <row r="3" spans="2:22" x14ac:dyDescent="0.25">
      <c r="B3" s="62" t="str">
        <f>IF(Personalização!$D$10="Maior Gasto",
    IFERROR(INDEX($Q$5:$Q$25, MATCH(LARGE($R$5:$R$25, 1), $R$5:$R$25, 0)), "Sem Registro"),
IF(Personalização!$D$10="Menor Gasto",
    IFERROR(INDEX($Q$5:$Q$25, MATCH(SMALL($R$5:$R$25, 1), $R$5:$R$25, 0)), "Sem Registro"),
IF(Personalização!$D$10="Gasto Total",
    "Gasto Total",
    IFERROR(Personalização!$D$10, "Sem Registro"))))</f>
        <v>Pets</v>
      </c>
      <c r="C3" s="63">
        <f ca="1">IFERROR(IF($B$3="Gasto Total", SUM($R$5:$R$25), INDEX($R$5:$R$25, MATCH($B$3, $Q$5:$Q$25, 0))),0)</f>
        <v>0</v>
      </c>
      <c r="E3" s="59"/>
    </row>
    <row r="4" spans="2:22" x14ac:dyDescent="0.25">
      <c r="E4" s="59"/>
      <c r="O4" s="57" t="s">
        <v>119</v>
      </c>
      <c r="Q4" s="108" t="s">
        <v>123</v>
      </c>
      <c r="R4" s="109"/>
      <c r="S4" s="110"/>
    </row>
    <row r="5" spans="2:22" x14ac:dyDescent="0.25">
      <c r="B5" s="111" t="s">
        <v>87</v>
      </c>
      <c r="C5" s="112"/>
      <c r="D5" s="60"/>
      <c r="F5" s="61" t="s">
        <v>6</v>
      </c>
      <c r="G5" s="61" t="s">
        <v>88</v>
      </c>
      <c r="I5" s="108">
        <v>2025</v>
      </c>
      <c r="J5" s="110"/>
      <c r="L5" s="113">
        <v>2026</v>
      </c>
      <c r="M5" s="114"/>
      <c r="O5" s="57" t="str" cm="1">
        <f t="array" ref="O5:O25">_xlfn._xlws.FILTER(Personalização!$J$8:$J$29, Personalização!$J$8:$J$29&lt;&gt;0)</f>
        <v>Assinatura</v>
      </c>
      <c r="Q5" s="57" t="str" cm="1">
        <f t="array" aca="1" ref="Q5" ca="1">_xlfn._xlws.FILTER(B12:B29,C12:C29&gt;0,"")</f>
        <v/>
      </c>
      <c r="R5" s="106" t="str" cm="1">
        <f t="array" aca="1" ref="R5" ca="1">IF(SUM(C12:C30)&gt;0, _xlfn._xlws.FILTER(C12:C30, C12:C30&gt;0), "")</f>
        <v/>
      </c>
      <c r="S5" s="106" t="str" cm="1">
        <f t="array" aca="1" ref="S5" ca="1">_xlfn._xlws.FILTER(D12:D29,C12:C29&gt;0,"")</f>
        <v/>
      </c>
    </row>
    <row r="6" spans="2:22" x14ac:dyDescent="0.25">
      <c r="B6" s="62" t="str">
        <f ca="1">IF(Personalização!$D$12="Maior Gasto",
    IFERROR(INDEX($Q$5:$Q$25, MATCH(LARGE($R$5:$R$25, 1), $R$5:$R$25, 0)), "Sem Registro"),
IF(Personalização!$D$12="Menor Gasto",
    IFERROR(INDEX($Q$5:$Q$25, MATCH(SMALL($R$5:$R$25, 1), $R$5:$R$25, 0)), "Sem Registro"),
IF(Personalização!$D$12="Gasto Total",
    "Gasto Total",
    IFERROR(Personalização!$D$12, "Sem Registro"))))</f>
        <v>Sem Registro</v>
      </c>
      <c r="C6" s="63">
        <f ca="1">IFERROR(IF($B$6="Gasto Total", SUM($R$5:$R$25), INDEX($R$5:$R$25, MATCH($B$6, $Q$5:$Q$25, 0))),0)</f>
        <v>0</v>
      </c>
      <c r="F6" s="64">
        <v>1</v>
      </c>
      <c r="G6" s="65" t="s">
        <v>8</v>
      </c>
      <c r="I6" s="66" t="s">
        <v>0</v>
      </c>
      <c r="J6" s="66" t="s">
        <v>1</v>
      </c>
      <c r="L6" s="66" t="s">
        <v>0</v>
      </c>
      <c r="M6" s="66" t="s">
        <v>1</v>
      </c>
      <c r="O6" s="57" t="str">
        <v>Roupas</v>
      </c>
      <c r="R6" s="106"/>
      <c r="S6" s="106"/>
    </row>
    <row r="7" spans="2:22" x14ac:dyDescent="0.25">
      <c r="B7" s="57"/>
      <c r="C7" s="57"/>
      <c r="F7" s="64">
        <v>2</v>
      </c>
      <c r="G7" s="65" t="s">
        <v>11</v>
      </c>
      <c r="I7" s="69" t="s">
        <v>2</v>
      </c>
      <c r="J7" s="70" cm="1">
        <f t="array" aca="1" ref="J7" ca="1">SUMPRODUCT((D$35:D$58=$I7)*(SUBTOTAL(109,OFFSET(E$35:W$58,ROW(D$35:D$58)-ROW($D$35),0,1))))</f>
        <v>0</v>
      </c>
      <c r="L7" s="69" t="s">
        <v>35</v>
      </c>
      <c r="M7" s="70" cm="1">
        <f t="array" aca="1" ref="M7" ca="1">SUMPRODUCT((D$35:D$58=$L7)*(SUBTOTAL(109,OFFSET(E$35:W$58,ROW(D$35:D$58)-ROW($D$35),0,1))))</f>
        <v>0</v>
      </c>
      <c r="O7" s="57" t="str">
        <v>Mercado</v>
      </c>
      <c r="R7" s="106"/>
      <c r="S7" s="106"/>
    </row>
    <row r="8" spans="2:22" x14ac:dyDescent="0.25">
      <c r="B8" s="111" t="s">
        <v>128</v>
      </c>
      <c r="C8" s="112"/>
      <c r="D8" s="57" t="s">
        <v>90</v>
      </c>
      <c r="F8" s="64">
        <v>3</v>
      </c>
      <c r="G8" s="65" t="s">
        <v>14</v>
      </c>
      <c r="I8" s="67" t="s">
        <v>3</v>
      </c>
      <c r="J8" s="68" cm="1">
        <f t="array" aca="1" ref="J8" ca="1">SUMPRODUCT((D$35:D$58=$I8)*(SUBTOTAL(109,OFFSET(E$35:W$58,ROW(D$35:D$58)-ROW($D$35),0,1))))</f>
        <v>0</v>
      </c>
      <c r="L8" s="67" t="s">
        <v>38</v>
      </c>
      <c r="M8" s="68" cm="1">
        <f t="array" aca="1" ref="M8" ca="1">SUMPRODUCT((D$35:D$58=$L8)*(SUBTOTAL(109,OFFSET(E$35:W$58,ROW(D$35:D$58)-ROW($D$35),0,1))))</f>
        <v>0</v>
      </c>
      <c r="O8" s="57" t="str">
        <v>Alimentação</v>
      </c>
      <c r="R8" s="106"/>
      <c r="S8" s="106"/>
    </row>
    <row r="9" spans="2:22" x14ac:dyDescent="0.25">
      <c r="B9" s="62" t="str">
        <f>IF(Personalização!$D$14="Maior Gasto",
    IFERROR(INDEX($Q$5:$Q$25, MATCH(LARGE($R$5:$R$25, 1), $R$5:$R$25, 0)), "Sem Registro"),
IF(Personalização!$D$14="Menor Gasto",
    IFERROR(INDEX($Q$5:$Q$25, MATCH(SMALL($R$5:$R$25, 1), $R$5:$R$25, 0)), "Sem Registro"),
IF(Personalização!$D$14="Gasto Total",
    "Gasto Total",
    IFERROR(Personalização!$D$14, "Sem Registro"))))</f>
        <v>Saúde</v>
      </c>
      <c r="C9" s="63">
        <f ca="1">IFERROR(IF($B$9="Gasto Total", SUM($R$5:$R$25), INDEX($R$5:$R$25, MATCH($B$9, $Q$5:$Q$25, 0))),0)</f>
        <v>0</v>
      </c>
      <c r="F9" s="64">
        <v>4</v>
      </c>
      <c r="G9" s="65" t="s">
        <v>17</v>
      </c>
      <c r="I9" s="69" t="s">
        <v>7</v>
      </c>
      <c r="J9" s="70" cm="1">
        <f t="array" aca="1" ref="J9" ca="1">SUMPRODUCT((D$35:D$58=$I9)*(SUBTOTAL(109,OFFSET(E$35:W$58,ROW(D$35:D$58)-ROW($D$35),0,1))))</f>
        <v>0</v>
      </c>
      <c r="L9" s="69" t="s">
        <v>41</v>
      </c>
      <c r="M9" s="70" cm="1">
        <f t="array" aca="1" ref="M9" ca="1">SUMPRODUCT((D$35:D$58=$L9)*(SUBTOTAL(109,OFFSET(E$35:W$58,ROW(D$35:D$58)-ROW($D$35),0,1))))</f>
        <v>0</v>
      </c>
      <c r="O9" s="57" t="str">
        <v>Cosméticos</v>
      </c>
      <c r="R9" s="106"/>
      <c r="S9" s="106"/>
    </row>
    <row r="10" spans="2:22" x14ac:dyDescent="0.25">
      <c r="F10" s="64">
        <v>5</v>
      </c>
      <c r="G10" s="65" t="s">
        <v>20</v>
      </c>
      <c r="I10" s="67" t="s">
        <v>9</v>
      </c>
      <c r="J10" s="68" cm="1">
        <f t="array" aca="1" ref="J10" ca="1">SUMPRODUCT((D$35:D$58=$I10)*(SUBTOTAL(109,OFFSET(E$35:W$58,ROW(D$35:D$58)-ROW($D$35),0,1))))</f>
        <v>0</v>
      </c>
      <c r="L10" s="67" t="s">
        <v>44</v>
      </c>
      <c r="M10" s="68" cm="1">
        <f t="array" aca="1" ref="M10" ca="1">SUMPRODUCT((D$35:D$58=$L10)*(SUBTOTAL(109,OFFSET(E$35:W$58,ROW(D$35:D$58)-ROW($D$35),0,1))))</f>
        <v>0</v>
      </c>
      <c r="O10" s="57" t="str">
        <v>Tecnologia</v>
      </c>
      <c r="R10" s="106"/>
      <c r="S10" s="106"/>
      <c r="T10" s="71"/>
      <c r="U10" s="71"/>
      <c r="V10" s="71"/>
    </row>
    <row r="11" spans="2:22" x14ac:dyDescent="0.25">
      <c r="B11" s="61" t="s">
        <v>4</v>
      </c>
      <c r="C11" s="61" t="s">
        <v>5</v>
      </c>
      <c r="D11" s="61" t="s">
        <v>94</v>
      </c>
      <c r="F11" s="64">
        <v>6</v>
      </c>
      <c r="G11" s="65" t="s">
        <v>23</v>
      </c>
      <c r="I11" s="69" t="s">
        <v>12</v>
      </c>
      <c r="J11" s="70" cm="1">
        <f t="array" aca="1" ref="J11" ca="1">SUMPRODUCT((D$35:D$58=$I11)*(SUBTOTAL(109,OFFSET(E$35:W$58,ROW(D$35:D$58)-ROW($D$35),0,1))))</f>
        <v>0</v>
      </c>
      <c r="L11" s="69" t="s">
        <v>47</v>
      </c>
      <c r="M11" s="70" cm="1">
        <f t="array" aca="1" ref="M11" ca="1">SUMPRODUCT((D$35:D$58=$L11)*(SUBTOTAL(109,OFFSET(E$35:W$58,ROW(D$35:D$58)-ROW($D$35),0,1))))</f>
        <v>0</v>
      </c>
      <c r="O11" s="57" t="str">
        <v>Esporte</v>
      </c>
      <c r="R11" s="106"/>
      <c r="S11" s="106"/>
    </row>
    <row r="12" spans="2:22" x14ac:dyDescent="0.25">
      <c r="B12" s="65" t="str" cm="1">
        <f t="array" ref="B12:B29">_xlfn._xlws.FILTER(Personalização!$J$8:$J$26, Personalização!$J$8:$J$26&lt;&gt;0)</f>
        <v>Assinatura</v>
      </c>
      <c r="C12" s="72" cm="1">
        <f t="array" aca="1" ref="C12" ca="1">SUMPRODUCT(SUBTOTAL(109,OFFSET(INDEX($E$35:$W$58, 0, MATCH($B12, $E$34:$W$34, 0)), ROW($E$34:$E$58)-ROW($E$35), 0, 1)))</f>
        <v>0</v>
      </c>
      <c r="D12" s="72">
        <f ca="1">$C12 + (ROW() / 1000)</f>
        <v>1.2E-2</v>
      </c>
      <c r="F12" s="64">
        <v>7</v>
      </c>
      <c r="G12" s="65" t="s">
        <v>26</v>
      </c>
      <c r="I12" s="67" t="s">
        <v>15</v>
      </c>
      <c r="J12" s="68" cm="1">
        <f t="array" aca="1" ref="J12" ca="1">SUMPRODUCT((D$35:D$58=$I12)*(SUBTOTAL(109,OFFSET(E$35:W$58,ROW(D$35:D$58)-ROW($D$35),0,1))))</f>
        <v>0</v>
      </c>
      <c r="L12" s="67" t="s">
        <v>50</v>
      </c>
      <c r="M12" s="68" cm="1">
        <f t="array" aca="1" ref="M12" ca="1">SUMPRODUCT((D$35:D$58=$L12)*(SUBTOTAL(109,OFFSET(E$35:W$58,ROW(D$35:D$58)-ROW($D$35),0,1))))</f>
        <v>0</v>
      </c>
      <c r="O12" s="57" t="str">
        <v>Lazer</v>
      </c>
      <c r="R12" s="106"/>
      <c r="S12" s="106"/>
    </row>
    <row r="13" spans="2:22" x14ac:dyDescent="0.25">
      <c r="B13" s="65" t="str">
        <v>Roupas</v>
      </c>
      <c r="C13" s="72" cm="1">
        <f t="array" aca="1" ref="C13" ca="1">SUMPRODUCT(SUBTOTAL(109,OFFSET(INDEX($E$35:$W$58, 0, MATCH($B13, $E$34:$W$34, 0)), ROW($E$34:$E$58)-ROW($E$35), 0, 1)))</f>
        <v>0</v>
      </c>
      <c r="D13" s="72">
        <f t="shared" ref="D13:D30" ca="1" si="0">$C13 + (ROW() / 1000)</f>
        <v>1.2999999999999999E-2</v>
      </c>
      <c r="F13" s="64">
        <v>8</v>
      </c>
      <c r="G13" s="65" t="s">
        <v>28</v>
      </c>
      <c r="I13" s="69" t="s">
        <v>18</v>
      </c>
      <c r="J13" s="70" cm="1">
        <f t="array" aca="1" ref="J13" ca="1">SUMPRODUCT((D$35:D$58=$I13)*(SUBTOTAL(109,OFFSET(E$35:W$58,ROW(D$35:D$58)-ROW($D$35),0,1))))</f>
        <v>0</v>
      </c>
      <c r="L13" s="69" t="s">
        <v>53</v>
      </c>
      <c r="M13" s="70" cm="1">
        <f t="array" aca="1" ref="M13" ca="1">SUMPRODUCT((D$35:D$58=$L13)*(SUBTOTAL(109,OFFSET(E$35:W$58,ROW(D$35:D$58)-ROW($D$35),0,1))))</f>
        <v>0</v>
      </c>
      <c r="O13" s="57" t="str">
        <v>Combustível</v>
      </c>
      <c r="R13" s="106"/>
      <c r="S13" s="106"/>
    </row>
    <row r="14" spans="2:22" x14ac:dyDescent="0.25">
      <c r="B14" s="65" t="str">
        <v>Mercado</v>
      </c>
      <c r="C14" s="72" cm="1">
        <f t="array" aca="1" ref="C14" ca="1">SUMPRODUCT(SUBTOTAL(109,OFFSET(INDEX($E$35:$W$58, 0, MATCH($B14, $E$34:$W$34, 0)), ROW($E$34:$E$58)-ROW($E$35), 0, 1)))</f>
        <v>0</v>
      </c>
      <c r="D14" s="72">
        <f t="shared" ca="1" si="0"/>
        <v>1.4E-2</v>
      </c>
      <c r="F14" s="64">
        <v>9</v>
      </c>
      <c r="G14" s="65" t="s">
        <v>31</v>
      </c>
      <c r="I14" s="67" t="s">
        <v>21</v>
      </c>
      <c r="J14" s="68" cm="1">
        <f t="array" aca="1" ref="J14" ca="1">SUMPRODUCT((D$35:D$58=$I14)*(SUBTOTAL(109,OFFSET(E$35:W$58,ROW(D$35:D$58)-ROW($D$35),0,1))))</f>
        <v>0</v>
      </c>
      <c r="L14" s="67" t="s">
        <v>54</v>
      </c>
      <c r="M14" s="68" cm="1">
        <f t="array" aca="1" ref="M14" ca="1">SUMPRODUCT((D$35:D$58=$L14)*(SUBTOTAL(109,OFFSET(E$35:W$58,ROW(D$35:D$58)-ROW($D$35),0,1))))</f>
        <v>0</v>
      </c>
      <c r="O14" s="57" t="str">
        <v>Investimentos</v>
      </c>
      <c r="R14" s="106"/>
      <c r="S14" s="106"/>
    </row>
    <row r="15" spans="2:22" x14ac:dyDescent="0.25">
      <c r="B15" s="65" t="str">
        <v>Alimentação</v>
      </c>
      <c r="C15" s="72" cm="1">
        <f t="array" aca="1" ref="C15" ca="1">SUMPRODUCT(SUBTOTAL(109,OFFSET(INDEX($E$35:$W$58, 0, MATCH($B15, $E$34:$W$34, 0)), ROW($E$34:$E$58)-ROW($E$35), 0, 1)))</f>
        <v>0</v>
      </c>
      <c r="D15" s="72">
        <f t="shared" ca="1" si="0"/>
        <v>1.4999999999999999E-2</v>
      </c>
      <c r="F15" s="64">
        <v>10</v>
      </c>
      <c r="G15" s="65" t="s">
        <v>34</v>
      </c>
      <c r="I15" s="69" t="s">
        <v>24</v>
      </c>
      <c r="J15" s="70" cm="1">
        <f t="array" aca="1" ref="J15" ca="1">SUMPRODUCT((D$35:D$58=$I15)*(SUBTOTAL(109,OFFSET(E$35:W$58,ROW(D$35:D$58)-ROW($D$35),0,1))))</f>
        <v>0</v>
      </c>
      <c r="L15" s="69" t="s">
        <v>55</v>
      </c>
      <c r="M15" s="70" cm="1">
        <f t="array" aca="1" ref="M15" ca="1">SUMPRODUCT((D$35:D$58=$L15)*(SUBTOTAL(109,OFFSET(E$35:W$58,ROW(D$35:D$58)-ROW($D$35),0,1))))</f>
        <v>0</v>
      </c>
      <c r="O15" s="57" t="str">
        <v>Saúde</v>
      </c>
      <c r="R15" s="106"/>
      <c r="S15" s="106"/>
    </row>
    <row r="16" spans="2:22" x14ac:dyDescent="0.25">
      <c r="B16" s="65" t="str">
        <v>Cosméticos</v>
      </c>
      <c r="C16" s="72" cm="1">
        <f t="array" aca="1" ref="C16" ca="1">SUMPRODUCT(SUBTOTAL(109,OFFSET(INDEX($E$35:$W$58, 0, MATCH($B16, $E$34:$W$34, 0)), ROW($E$34:$E$58)-ROW($E$35), 0, 1)))</f>
        <v>0</v>
      </c>
      <c r="D16" s="72">
        <f t="shared" ca="1" si="0"/>
        <v>1.6E-2</v>
      </c>
      <c r="F16" s="64">
        <v>11</v>
      </c>
      <c r="G16" s="65" t="s">
        <v>37</v>
      </c>
      <c r="I16" s="67" t="s">
        <v>27</v>
      </c>
      <c r="J16" s="68" cm="1">
        <f t="array" aca="1" ref="J16" ca="1">SUMPRODUCT((D$35:D$58=$I16)*(SUBTOTAL(109,OFFSET(E$35:W$58,ROW(D$35:D$58)-ROW($D$35),0,1))))</f>
        <v>0</v>
      </c>
      <c r="L16" s="67" t="s">
        <v>56</v>
      </c>
      <c r="M16" s="68" cm="1">
        <f t="array" aca="1" ref="M16" ca="1">SUMPRODUCT((D$35:D$58=$L16)*(SUBTOTAL(109,OFFSET(E$35:W$58,ROW(D$35:D$58)-ROW($D$35),0,1))))</f>
        <v>0</v>
      </c>
      <c r="O16" s="57" t="str">
        <v>Pets</v>
      </c>
      <c r="R16" s="106"/>
      <c r="S16" s="106"/>
    </row>
    <row r="17" spans="2:19" x14ac:dyDescent="0.25">
      <c r="B17" s="65" t="str">
        <v>Tecnologia</v>
      </c>
      <c r="C17" s="72" cm="1">
        <f t="array" aca="1" ref="C17" ca="1">SUMPRODUCT(SUBTOTAL(109,OFFSET(INDEX($E$35:$W$58, 0, MATCH($B17, $E$34:$W$34, 0)), ROW($E$34:$E$58)-ROW($E$35), 0, 1)))</f>
        <v>0</v>
      </c>
      <c r="D17" s="72">
        <f t="shared" ca="1" si="0"/>
        <v>1.7000000000000001E-2</v>
      </c>
      <c r="F17" s="64">
        <v>12</v>
      </c>
      <c r="G17" s="65" t="s">
        <v>40</v>
      </c>
      <c r="I17" s="69" t="s">
        <v>29</v>
      </c>
      <c r="J17" s="70" cm="1">
        <f t="array" aca="1" ref="J17" ca="1">SUMPRODUCT((D$35:D$58=$I17)*(SUBTOTAL(109,OFFSET(E$35:W$58,ROW(D$35:D$58)-ROW($D$35),0,1))))</f>
        <v>0</v>
      </c>
      <c r="L17" s="69" t="s">
        <v>57</v>
      </c>
      <c r="M17" s="70" cm="1">
        <f t="array" aca="1" ref="M17" ca="1">SUMPRODUCT((D$35:D$58=$L17)*(SUBTOTAL(109,OFFSET(E$35:W$58,ROW(D$35:D$58)-ROW($D$35),0,1))))</f>
        <v>0</v>
      </c>
      <c r="O17" s="57" t="str">
        <v>Estudos</v>
      </c>
      <c r="R17" s="106"/>
      <c r="S17" s="106"/>
    </row>
    <row r="18" spans="2:19" x14ac:dyDescent="0.25">
      <c r="B18" s="65" t="str">
        <v>Esporte</v>
      </c>
      <c r="C18" s="72" cm="1">
        <f t="array" aca="1" ref="C18" ca="1">SUMPRODUCT(SUBTOTAL(109,OFFSET(INDEX($E$35:$W$58, 0, MATCH($B18, $E$34:$W$34, 0)), ROW($E$34:$E$58)-ROW($E$35), 0, 1)))</f>
        <v>0</v>
      </c>
      <c r="D18" s="72">
        <f t="shared" ca="1" si="0"/>
        <v>1.7999999999999999E-2</v>
      </c>
      <c r="F18" s="64">
        <v>13</v>
      </c>
      <c r="G18" s="65" t="s">
        <v>43</v>
      </c>
      <c r="I18" s="67" t="s">
        <v>32</v>
      </c>
      <c r="J18" s="68" cm="1">
        <f t="array" aca="1" ref="J18" ca="1">SUMPRODUCT((D$35:D$58=$I18)*(SUBTOTAL(109,OFFSET(E$35:W$58,ROW(D$35:D$58)-ROW($D$35),0,1))))</f>
        <v>0</v>
      </c>
      <c r="L18" s="67" t="s">
        <v>58</v>
      </c>
      <c r="M18" s="68" cm="1">
        <f t="array" aca="1" ref="M18" ca="1">SUMPRODUCT((D$35:D$58=$L18)*(SUBTOTAL(109,OFFSET(E$35:W$58,ROW(D$35:D$58)-ROW($D$35),0,1))))</f>
        <v>0</v>
      </c>
      <c r="O18" s="57" t="str">
        <v>Barbearia</v>
      </c>
      <c r="R18" s="106"/>
      <c r="S18" s="106"/>
    </row>
    <row r="19" spans="2:19" x14ac:dyDescent="0.25">
      <c r="B19" s="65" t="str">
        <v>Lazer</v>
      </c>
      <c r="C19" s="72" cm="1">
        <f t="array" aca="1" ref="C19" ca="1">SUMPRODUCT(SUBTOTAL(109,OFFSET(INDEX($E$35:$W$58, 0, MATCH($B19, $E$34:$W$34, 0)), ROW($E$34:$E$58)-ROW($E$35), 0, 1)))</f>
        <v>0</v>
      </c>
      <c r="D19" s="72">
        <f t="shared" ca="1" si="0"/>
        <v>1.9E-2</v>
      </c>
      <c r="F19" s="64">
        <v>14</v>
      </c>
      <c r="G19" s="65" t="s">
        <v>46</v>
      </c>
      <c r="I19" s="73" t="s">
        <v>89</v>
      </c>
      <c r="J19" s="74">
        <f ca="1">SUM($J$7:$J$18)</f>
        <v>0</v>
      </c>
      <c r="L19" s="73" t="s">
        <v>89</v>
      </c>
      <c r="M19" s="74">
        <f ca="1">SUM($M$7:$M$18)</f>
        <v>0</v>
      </c>
      <c r="O19" s="57" t="str">
        <v>Jogos</v>
      </c>
      <c r="R19" s="106"/>
      <c r="S19" s="106"/>
    </row>
    <row r="20" spans="2:19" x14ac:dyDescent="0.25">
      <c r="B20" s="65" t="str">
        <v>Combustível</v>
      </c>
      <c r="C20" s="72" cm="1">
        <f t="array" aca="1" ref="C20" ca="1">SUMPRODUCT(SUBTOTAL(109,OFFSET(INDEX($E$35:$W$58, 0, MATCH($B20, $E$34:$W$34, 0)), ROW($E$34:$E$58)-ROW($E$35), 0, 1)))</f>
        <v>0</v>
      </c>
      <c r="D20" s="72">
        <f t="shared" ca="1" si="0"/>
        <v>0.02</v>
      </c>
      <c r="F20" s="64">
        <v>15</v>
      </c>
      <c r="G20" s="65" t="s">
        <v>49</v>
      </c>
      <c r="O20" s="57" t="str">
        <v>Transporte</v>
      </c>
      <c r="R20" s="106"/>
      <c r="S20" s="106"/>
    </row>
    <row r="21" spans="2:19" x14ac:dyDescent="0.25">
      <c r="B21" s="65" t="str">
        <v>Investimentos</v>
      </c>
      <c r="C21" s="72" cm="1">
        <f t="array" aca="1" ref="C21" ca="1">SUMPRODUCT(SUBTOTAL(109,OFFSET(INDEX($E$35:$W$58, 0, MATCH($B21, $E$34:$W$34, 0)), ROW($E$34:$E$58)-ROW($E$35), 0, 1)))</f>
        <v>0</v>
      </c>
      <c r="D21" s="72">
        <f t="shared" ca="1" si="0"/>
        <v>2.1000000000000001E-2</v>
      </c>
      <c r="F21" s="64">
        <v>16</v>
      </c>
      <c r="G21" s="65" t="s">
        <v>52</v>
      </c>
      <c r="K21" s="71"/>
      <c r="O21" s="57" t="str">
        <v>Outros</v>
      </c>
      <c r="R21" s="106"/>
      <c r="S21" s="106"/>
    </row>
    <row r="22" spans="2:19" x14ac:dyDescent="0.25">
      <c r="B22" s="65" t="str">
        <v>Saúde</v>
      </c>
      <c r="C22" s="72" cm="1">
        <f t="array" aca="1" ref="C22" ca="1">SUMPRODUCT(SUBTOTAL(109,OFFSET(INDEX($E$35:$W$58, 0, MATCH($B22, $E$34:$W$34, 0)), ROW($E$34:$E$58)-ROW($E$35), 0, 1)))</f>
        <v>0</v>
      </c>
      <c r="D22" s="72">
        <f t="shared" ca="1" si="0"/>
        <v>2.1999999999999999E-2</v>
      </c>
      <c r="I22" s="75" t="s">
        <v>129</v>
      </c>
      <c r="O22" s="57" t="str">
        <v>Contas</v>
      </c>
      <c r="R22" s="106"/>
      <c r="S22" s="106"/>
    </row>
    <row r="23" spans="2:19" x14ac:dyDescent="0.25">
      <c r="B23" s="65" t="str">
        <v>Pets</v>
      </c>
      <c r="C23" s="72" cm="1">
        <f t="array" aca="1" ref="C23" ca="1">SUMPRODUCT(SUBTOTAL(109,OFFSET(INDEX($E$35:$W$58, 0, MATCH($B23, $E$34:$W$34, 0)), ROW($E$34:$E$58)-ROW($E$35), 0, 1)))</f>
        <v>0</v>
      </c>
      <c r="D23" s="72">
        <f t="shared" ca="1" si="0"/>
        <v>2.3E-2</v>
      </c>
      <c r="I23" s="76">
        <f ca="1">SUM($J$19,$M$19)</f>
        <v>0</v>
      </c>
      <c r="O23" s="57" t="str">
        <v>Maior Gasto</v>
      </c>
      <c r="R23" s="106"/>
      <c r="S23" s="106"/>
    </row>
    <row r="24" spans="2:19" x14ac:dyDescent="0.25">
      <c r="B24" s="65" t="str">
        <v>Estudos</v>
      </c>
      <c r="C24" s="72" cm="1">
        <f t="array" aca="1" ref="C24" ca="1">SUMPRODUCT(SUBTOTAL(109,OFFSET(INDEX($E$35:$W$58, 0, MATCH($B24, $E$34:$W$34, 0)), ROW($E$34:$E$58)-ROW($E$35), 0, 1)))</f>
        <v>0</v>
      </c>
      <c r="D24" s="72">
        <f t="shared" ca="1" si="0"/>
        <v>2.4E-2</v>
      </c>
      <c r="O24" s="57" t="str">
        <v>Menor Gasto</v>
      </c>
      <c r="R24" s="106"/>
      <c r="S24" s="106"/>
    </row>
    <row r="25" spans="2:19" x14ac:dyDescent="0.25">
      <c r="B25" s="65" t="str">
        <v>Barbearia</v>
      </c>
      <c r="C25" s="72" cm="1">
        <f t="array" aca="1" ref="C25" ca="1">SUMPRODUCT(SUBTOTAL(109,OFFSET(INDEX($E$35:$W$58, 0, MATCH($B25, $E$34:$W$34, 0)), ROW($E$34:$E$58)-ROW($E$35), 0, 1)))</f>
        <v>0</v>
      </c>
      <c r="D25" s="72">
        <f t="shared" ca="1" si="0"/>
        <v>2.5000000000000001E-2</v>
      </c>
      <c r="O25" s="57" t="str">
        <v>Gasto Total</v>
      </c>
      <c r="R25" s="106"/>
      <c r="S25" s="106"/>
    </row>
    <row r="26" spans="2:19" x14ac:dyDescent="0.25">
      <c r="B26" s="65" t="str">
        <v>Jogos</v>
      </c>
      <c r="C26" s="72" cm="1">
        <f t="array" aca="1" ref="C26" ca="1">SUMPRODUCT(SUBTOTAL(109,OFFSET(INDEX($E$35:$W$58, 0, MATCH($B26, $E$34:$W$34, 0)), ROW($E$34:$E$58)-ROW($E$35), 0, 1)))</f>
        <v>0</v>
      </c>
      <c r="D26" s="72">
        <f t="shared" ca="1" si="0"/>
        <v>2.5999999999999999E-2</v>
      </c>
    </row>
    <row r="27" spans="2:19" x14ac:dyDescent="0.25">
      <c r="B27" s="65" t="str">
        <v>Transporte</v>
      </c>
      <c r="C27" s="72" cm="1">
        <f t="array" aca="1" ref="C27" ca="1">SUMPRODUCT(SUBTOTAL(109,OFFSET(INDEX($E$35:$W$58, 0, MATCH($B27, $E$34:$W$34, 0)), ROW($E$34:$E$58)-ROW($E$35), 0, 1)))</f>
        <v>0</v>
      </c>
      <c r="D27" s="72">
        <f t="shared" ca="1" si="0"/>
        <v>2.7E-2</v>
      </c>
    </row>
    <row r="28" spans="2:19" x14ac:dyDescent="0.25">
      <c r="B28" s="65" t="str">
        <v>Outros</v>
      </c>
      <c r="C28" s="72" cm="1">
        <f t="array" aca="1" ref="C28" ca="1">SUMPRODUCT(SUBTOTAL(109,OFFSET(INDEX($E$35:$W$58, 0, MATCH($B28, $E$34:$W$34, 0)), ROW($E$34:$E$58)-ROW($E$35), 0, 1)))</f>
        <v>0</v>
      </c>
      <c r="D28" s="72">
        <f t="shared" ca="1" si="0"/>
        <v>2.8000000000000001E-2</v>
      </c>
    </row>
    <row r="29" spans="2:19" x14ac:dyDescent="0.25">
      <c r="B29" s="65" t="str">
        <v>Contas</v>
      </c>
      <c r="C29" s="72" cm="1">
        <f t="array" aca="1" ref="C29" ca="1">SUMPRODUCT(SUBTOTAL(109,OFFSET(INDEX($E$35:$W$58, 0, MATCH($B29, $E$34:$W$34, 0)), ROW($E$34:$E$58)-ROW($E$35), 0, 1)))</f>
        <v>0</v>
      </c>
      <c r="D29" s="72">
        <f t="shared" ca="1" si="0"/>
        <v>2.9000000000000001E-2</v>
      </c>
    </row>
    <row r="30" spans="2:19" x14ac:dyDescent="0.25">
      <c r="B30" s="65"/>
      <c r="C30" s="72" cm="1">
        <f t="array" aca="1" ref="C30" ca="1">SUMPRODUCT(SUBTOTAL(109,OFFSET(INDEX($E$35:$W$58, 0, MATCH($B30, $E$34:$W$34, 0)), ROW($E$34:$E$58)-ROW($E$35), 0, 1)))</f>
        <v>0</v>
      </c>
      <c r="D30" s="72">
        <f t="shared" ca="1" si="0"/>
        <v>0.03</v>
      </c>
    </row>
    <row r="33" spans="2:23" x14ac:dyDescent="0.25">
      <c r="B33" s="77" t="s">
        <v>59</v>
      </c>
      <c r="C33" s="77" t="s">
        <v>0</v>
      </c>
      <c r="D33" s="78" t="s">
        <v>60</v>
      </c>
      <c r="E33" s="78" t="s">
        <v>100</v>
      </c>
      <c r="F33" s="78" t="s">
        <v>101</v>
      </c>
      <c r="G33" s="78" t="s">
        <v>102</v>
      </c>
      <c r="H33" s="78" t="s">
        <v>103</v>
      </c>
      <c r="I33" s="78" t="s">
        <v>104</v>
      </c>
      <c r="J33" s="78" t="s">
        <v>105</v>
      </c>
      <c r="K33" s="78" t="s">
        <v>106</v>
      </c>
      <c r="L33" s="78" t="s">
        <v>107</v>
      </c>
      <c r="M33" s="78" t="s">
        <v>108</v>
      </c>
      <c r="N33" s="78" t="s">
        <v>109</v>
      </c>
      <c r="O33" s="78" t="s">
        <v>110</v>
      </c>
      <c r="P33" s="78" t="s">
        <v>111</v>
      </c>
      <c r="Q33" s="78" t="s">
        <v>112</v>
      </c>
      <c r="R33" s="78" t="s">
        <v>113</v>
      </c>
      <c r="S33" s="78" t="s">
        <v>114</v>
      </c>
      <c r="T33" s="78" t="s">
        <v>116</v>
      </c>
      <c r="U33" s="78" t="s">
        <v>117</v>
      </c>
      <c r="V33" s="78" t="s">
        <v>118</v>
      </c>
      <c r="W33" s="78" t="s">
        <v>115</v>
      </c>
    </row>
    <row r="34" spans="2:23" ht="18.75" x14ac:dyDescent="0.25">
      <c r="B34" s="94"/>
      <c r="C34" s="95"/>
      <c r="D34" s="96"/>
      <c r="E34" s="97" t="str">
        <f>$B$12</f>
        <v>Assinatura</v>
      </c>
      <c r="F34" s="97" t="str">
        <f>$B$13</f>
        <v>Roupas</v>
      </c>
      <c r="G34" s="97" t="str">
        <f>$B$14</f>
        <v>Mercado</v>
      </c>
      <c r="H34" s="97" t="str">
        <f>$B$15</f>
        <v>Alimentação</v>
      </c>
      <c r="I34" s="97" t="str">
        <f>$B$16</f>
        <v>Cosméticos</v>
      </c>
      <c r="J34" s="97" t="str">
        <f>$B$17</f>
        <v>Tecnologia</v>
      </c>
      <c r="K34" s="97" t="str">
        <f>$B$18</f>
        <v>Esporte</v>
      </c>
      <c r="L34" s="97" t="str">
        <f>$B$19</f>
        <v>Lazer</v>
      </c>
      <c r="M34" s="97" t="str">
        <f>$B$20</f>
        <v>Combustível</v>
      </c>
      <c r="N34" s="97" t="str">
        <f>$B$21</f>
        <v>Investimentos</v>
      </c>
      <c r="O34" s="97" t="str">
        <f>$B$22</f>
        <v>Saúde</v>
      </c>
      <c r="P34" s="97" t="str">
        <f>$B$23</f>
        <v>Pets</v>
      </c>
      <c r="Q34" s="97" t="str">
        <f>$B$24</f>
        <v>Estudos</v>
      </c>
      <c r="R34" s="97" t="str">
        <f>$B$25</f>
        <v>Barbearia</v>
      </c>
      <c r="S34" s="97" t="str">
        <f>$B$26</f>
        <v>Jogos</v>
      </c>
      <c r="T34" s="97" t="str">
        <f>$B$27</f>
        <v>Transporte</v>
      </c>
      <c r="U34" s="97" t="str">
        <f>$B$28</f>
        <v>Outros</v>
      </c>
      <c r="V34" s="97" t="str">
        <f>$B$29</f>
        <v>Contas</v>
      </c>
      <c r="W34" s="97">
        <f>$B$30</f>
        <v>0</v>
      </c>
    </row>
    <row r="35" spans="2:23" ht="18.75" x14ac:dyDescent="0.25">
      <c r="B35" s="79">
        <v>2025</v>
      </c>
      <c r="C35" s="80">
        <v>45658</v>
      </c>
      <c r="D35" s="81" t="s">
        <v>2</v>
      </c>
      <c r="E35" s="54">
        <f ca="1">IF($D35=Janeiro!$X$31, INDEX(Janeiro!$Y$10:$Y$28, MATCH(E$34, Janeiro!$X$10:$X$28, 0)), "")</f>
        <v>0</v>
      </c>
      <c r="F35" s="54">
        <f ca="1">IF($D35=Janeiro!$X$31, INDEX(Janeiro!$Y$10:$Y$28, MATCH(F$34, Janeiro!$X$10:$X$28, 0)), "")</f>
        <v>0</v>
      </c>
      <c r="G35" s="54">
        <f ca="1">IF($D35=Janeiro!$X$31, INDEX(Janeiro!$Y$10:$Y$28, MATCH(G$34, Janeiro!$X$10:$X$28, 0)), "")</f>
        <v>0</v>
      </c>
      <c r="H35" s="54">
        <f ca="1">IF($D35=Janeiro!$X$31, INDEX(Janeiro!$Y$10:$Y$28, MATCH(H$34, Janeiro!$X$10:$X$28, 0)), "")</f>
        <v>0</v>
      </c>
      <c r="I35" s="54">
        <f ca="1">IF($D35=Janeiro!$X$31, INDEX(Janeiro!$Y$10:$Y$28, MATCH(I$34, Janeiro!$X$10:$X$28, 0)), "")</f>
        <v>0</v>
      </c>
      <c r="J35" s="54">
        <f ca="1">IF($D35=Janeiro!$X$31, INDEX(Janeiro!$Y$10:$Y$28, MATCH(J$34, Janeiro!$X$10:$X$28, 0)), "")</f>
        <v>0</v>
      </c>
      <c r="K35" s="54">
        <f ca="1">IF($D35=Janeiro!$X$31, INDEX(Janeiro!$Y$10:$Y$28, MATCH(K$34, Janeiro!$X$10:$X$28, 0)), "")</f>
        <v>0</v>
      </c>
      <c r="L35" s="54">
        <f ca="1">IF($D35=Janeiro!$X$31, INDEX(Janeiro!$Y$10:$Y$28, MATCH(L$34, Janeiro!$X$10:$X$28, 0)), "")</f>
        <v>0</v>
      </c>
      <c r="M35" s="54">
        <f ca="1">IF($D35=Janeiro!$X$31, INDEX(Janeiro!$Y$10:$Y$28, MATCH(M$34, Janeiro!$X$10:$X$28, 0)), "")</f>
        <v>0</v>
      </c>
      <c r="N35" s="54">
        <f ca="1">IF($D35=Janeiro!$X$31, INDEX(Janeiro!$Y$10:$Y$28, MATCH(N$34, Janeiro!$X$10:$X$28, 0)), "")</f>
        <v>0</v>
      </c>
      <c r="O35" s="54">
        <f ca="1">IF($D35=Janeiro!$X$31, INDEX(Janeiro!$Y$10:$Y$28, MATCH(O$34, Janeiro!$X$10:$X$28, 0)), "")</f>
        <v>0</v>
      </c>
      <c r="P35" s="54">
        <f ca="1">IF($D35=Janeiro!$X$31, INDEX(Janeiro!$Y$10:$Y$28, MATCH(P$34, Janeiro!$X$10:$X$28, 0)), "")</f>
        <v>0</v>
      </c>
      <c r="Q35" s="54">
        <f ca="1">IF($D35=Janeiro!$X$31, INDEX(Janeiro!$Y$10:$Y$28, MATCH(Q$34, Janeiro!$X$10:$X$28, 0)), "")</f>
        <v>0</v>
      </c>
      <c r="R35" s="54">
        <f ca="1">IF($D35=Janeiro!$X$31, INDEX(Janeiro!$Y$10:$Y$28, MATCH(R$34, Janeiro!$X$10:$X$28, 0)), "")</f>
        <v>0</v>
      </c>
      <c r="S35" s="54">
        <f ca="1">IF($D35=Janeiro!$X$31, INDEX(Janeiro!$Y$10:$Y$28, MATCH(S$34, Janeiro!$X$10:$X$28, 0)), "")</f>
        <v>0</v>
      </c>
      <c r="T35" s="54">
        <f ca="1">IF($D35=Janeiro!$X$31, INDEX(Janeiro!$Y$10:$Y$28, MATCH(T$34, Janeiro!$X$10:$X$28, 0)), "")</f>
        <v>0</v>
      </c>
      <c r="U35" s="54">
        <f ca="1">IF($D35=Janeiro!$X$31, INDEX(Janeiro!$Y$10:$Y$28, MATCH(U$34, Janeiro!$X$10:$X$28, 0)), "")</f>
        <v>0</v>
      </c>
      <c r="V35" s="54">
        <f ca="1">IF($D35=Janeiro!$X$31, INDEX(Janeiro!$Y$10:$Y$28, MATCH(V$34, Janeiro!$X$10:$X$28, 0)), "")</f>
        <v>0</v>
      </c>
      <c r="W35" s="54">
        <f ca="1">IF($D35=Janeiro!$X$31, INDEX(Janeiro!$Y$10:$Y$28, MATCH(W$34, Janeiro!$X$10:$X$28, 0)), "")</f>
        <v>0</v>
      </c>
    </row>
    <row r="36" spans="2:23" ht="18.75" x14ac:dyDescent="0.25">
      <c r="B36" s="79">
        <v>2025</v>
      </c>
      <c r="C36" s="80">
        <v>45689</v>
      </c>
      <c r="D36" s="82" t="s">
        <v>3</v>
      </c>
      <c r="E36" s="54">
        <f ca="1">IF($D36=Fevereiro!$X$31, INDEX(Fevereiro!$Y$10:$Y$28, MATCH(E$34, Fevereiro!$X$10:$X$28, 0)), "")</f>
        <v>0</v>
      </c>
      <c r="F36" s="54">
        <f ca="1">IF($D36=Fevereiro!$X$31, INDEX(Fevereiro!$Y$10:$Y$28, MATCH(F$34, Fevereiro!$X$10:$X$28, 0)), "")</f>
        <v>0</v>
      </c>
      <c r="G36" s="54">
        <f ca="1">IF($D36=Fevereiro!$X$31, INDEX(Fevereiro!$Y$10:$Y$28, MATCH(G$34, Fevereiro!$X$10:$X$28, 0)), "")</f>
        <v>0</v>
      </c>
      <c r="H36" s="54">
        <f ca="1">IF($D36=Fevereiro!$X$31, INDEX(Fevereiro!$Y$10:$Y$28, MATCH(H$34, Fevereiro!$X$10:$X$28, 0)), "")</f>
        <v>0</v>
      </c>
      <c r="I36" s="54">
        <f ca="1">IF($D36=Fevereiro!$X$31, INDEX(Fevereiro!$Y$10:$Y$28, MATCH(I$34, Fevereiro!$X$10:$X$28, 0)), "")</f>
        <v>0</v>
      </c>
      <c r="J36" s="54">
        <f ca="1">IF($D36=Fevereiro!$X$31, INDEX(Fevereiro!$Y$10:$Y$28, MATCH(J$34, Fevereiro!$X$10:$X$28, 0)), "")</f>
        <v>0</v>
      </c>
      <c r="K36" s="54">
        <f ca="1">IF($D36=Fevereiro!$X$31, INDEX(Fevereiro!$Y$10:$Y$28, MATCH(K$34, Fevereiro!$X$10:$X$28, 0)), "")</f>
        <v>0</v>
      </c>
      <c r="L36" s="54">
        <f ca="1">IF($D36=Fevereiro!$X$31, INDEX(Fevereiro!$Y$10:$Y$28, MATCH(L$34, Fevereiro!$X$10:$X$28, 0)), "")</f>
        <v>0</v>
      </c>
      <c r="M36" s="54">
        <f ca="1">IF($D36=Fevereiro!$X$31, INDEX(Fevereiro!$Y$10:$Y$28, MATCH(M$34, Fevereiro!$X$10:$X$28, 0)), "")</f>
        <v>0</v>
      </c>
      <c r="N36" s="54">
        <f ca="1">IF($D36=Fevereiro!$X$31, INDEX(Fevereiro!$Y$10:$Y$28, MATCH(N$34, Fevereiro!$X$10:$X$28, 0)), "")</f>
        <v>0</v>
      </c>
      <c r="O36" s="54">
        <f ca="1">IF($D36=Fevereiro!$X$31, INDEX(Fevereiro!$Y$10:$Y$28, MATCH(O$34, Fevereiro!$X$10:$X$28, 0)), "")</f>
        <v>0</v>
      </c>
      <c r="P36" s="54">
        <f ca="1">IF($D36=Fevereiro!$X$31, INDEX(Fevereiro!$Y$10:$Y$28, MATCH(P$34, Fevereiro!$X$10:$X$28, 0)), "")</f>
        <v>0</v>
      </c>
      <c r="Q36" s="54">
        <f ca="1">IF($D36=Fevereiro!$X$31, INDEX(Fevereiro!$Y$10:$Y$28, MATCH(Q$34, Fevereiro!$X$10:$X$28, 0)), "")</f>
        <v>0</v>
      </c>
      <c r="R36" s="54">
        <f ca="1">IF($D36=Fevereiro!$X$31, INDEX(Fevereiro!$Y$10:$Y$28, MATCH(R$34, Fevereiro!$X$10:$X$28, 0)), "")</f>
        <v>0</v>
      </c>
      <c r="S36" s="54">
        <f ca="1">IF($D36=Fevereiro!$X$31, INDEX(Fevereiro!$Y$10:$Y$28, MATCH(S$34, Fevereiro!$X$10:$X$28, 0)), "")</f>
        <v>0</v>
      </c>
      <c r="T36" s="54">
        <f ca="1">IF($D36=Fevereiro!$X$31, INDEX(Fevereiro!$Y$10:$Y$28, MATCH(T$34, Fevereiro!$X$10:$X$28, 0)), "")</f>
        <v>0</v>
      </c>
      <c r="U36" s="54">
        <f ca="1">IF($D36=Fevereiro!$X$31, INDEX(Fevereiro!$Y$10:$Y$28, MATCH(U$34, Fevereiro!$X$10:$X$28, 0)), "")</f>
        <v>0</v>
      </c>
      <c r="V36" s="54">
        <f ca="1">IF($D36=Fevereiro!$X$31, INDEX(Fevereiro!$Y$10:$Y$28, MATCH(V$34, Fevereiro!$X$10:$X$28, 0)), "")</f>
        <v>0</v>
      </c>
      <c r="W36" s="54">
        <f ca="1">IF($D36=Fevereiro!$X$31, INDEX(Fevereiro!$Y$10:$Y$28, MATCH(W$34, Fevereiro!$X$10:$X$28, 0)), "")</f>
        <v>0</v>
      </c>
    </row>
    <row r="37" spans="2:23" ht="18.75" x14ac:dyDescent="0.25">
      <c r="B37" s="79">
        <v>2025</v>
      </c>
      <c r="C37" s="80">
        <v>45717</v>
      </c>
      <c r="D37" s="82" t="s">
        <v>7</v>
      </c>
      <c r="E37" s="54">
        <f ca="1">IF($D37=Março!$X$31, INDEX(Março!$Y$10:$Y$28, MATCH(E$34, Março!$X$10:$X$28, 0)), "")</f>
        <v>0</v>
      </c>
      <c r="F37" s="54">
        <f ca="1">IF($D37=Março!$X$31, INDEX(Março!$Y$10:$Y$28, MATCH(F$34, Março!$X$10:$X$28, 0)), "")</f>
        <v>0</v>
      </c>
      <c r="G37" s="54">
        <f ca="1">IF($D37=Março!$X$31, INDEX(Março!$Y$10:$Y$28, MATCH(G$34, Março!$X$10:$X$28, 0)), "")</f>
        <v>0</v>
      </c>
      <c r="H37" s="54">
        <f ca="1">IF($D37=Março!$X$31, INDEX(Março!$Y$10:$Y$28, MATCH(H$34, Março!$X$10:$X$28, 0)), "")</f>
        <v>0</v>
      </c>
      <c r="I37" s="54">
        <f ca="1">IF($D37=Março!$X$31, INDEX(Março!$Y$10:$Y$28, MATCH(I$34, Março!$X$10:$X$28, 0)), "")</f>
        <v>0</v>
      </c>
      <c r="J37" s="54">
        <f ca="1">IF($D37=Março!$X$31, INDEX(Março!$Y$10:$Y$28, MATCH(J$34, Março!$X$10:$X$28, 0)), "")</f>
        <v>0</v>
      </c>
      <c r="K37" s="54">
        <f ca="1">IF($D37=Março!$X$31, INDEX(Março!$Y$10:$Y$28, MATCH(K$34, Março!$X$10:$X$28, 0)), "")</f>
        <v>0</v>
      </c>
      <c r="L37" s="54">
        <f ca="1">IF($D37=Março!$X$31, INDEX(Março!$Y$10:$Y$28, MATCH(L$34, Março!$X$10:$X$28, 0)), "")</f>
        <v>0</v>
      </c>
      <c r="M37" s="54">
        <f ca="1">IF($D37=Março!$X$31, INDEX(Março!$Y$10:$Y$28, MATCH(M$34, Março!$X$10:$X$28, 0)), "")</f>
        <v>0</v>
      </c>
      <c r="N37" s="54">
        <f ca="1">IF($D37=Março!$X$31, INDEX(Março!$Y$10:$Y$28, MATCH(N$34, Março!$X$10:$X$28, 0)), "")</f>
        <v>0</v>
      </c>
      <c r="O37" s="54">
        <f ca="1">IF($D37=Março!$X$31, INDEX(Março!$Y$10:$Y$28, MATCH(O$34, Março!$X$10:$X$28, 0)), "")</f>
        <v>0</v>
      </c>
      <c r="P37" s="54">
        <f ca="1">IF($D37=Março!$X$31, INDEX(Março!$Y$10:$Y$28, MATCH(P$34, Março!$X$10:$X$28, 0)), "")</f>
        <v>0</v>
      </c>
      <c r="Q37" s="54">
        <f ca="1">IF($D37=Março!$X$31, INDEX(Março!$Y$10:$Y$28, MATCH(Q$34, Março!$X$10:$X$28, 0)), "")</f>
        <v>0</v>
      </c>
      <c r="R37" s="54">
        <f ca="1">IF($D37=Março!$X$31, INDEX(Março!$Y$10:$Y$28, MATCH(R$34, Março!$X$10:$X$28, 0)), "")</f>
        <v>0</v>
      </c>
      <c r="S37" s="54">
        <f ca="1">IF($D37=Março!$X$31, INDEX(Março!$Y$10:$Y$28, MATCH(S$34, Março!$X$10:$X$28, 0)), "")</f>
        <v>0</v>
      </c>
      <c r="T37" s="54">
        <f ca="1">IF($D37=Março!$X$31, INDEX(Março!$Y$10:$Y$28, MATCH(T$34, Março!$X$10:$X$28, 0)), "")</f>
        <v>0</v>
      </c>
      <c r="U37" s="54">
        <f ca="1">IF($D37=Março!$X$31, INDEX(Março!$Y$10:$Y$28, MATCH(U$34, Março!$X$10:$X$28, 0)), "")</f>
        <v>0</v>
      </c>
      <c r="V37" s="54">
        <f ca="1">IF($D37=Março!$X$31, INDEX(Março!$Y$10:$Y$28, MATCH(V$34, Março!$X$10:$X$28, 0)), "")</f>
        <v>0</v>
      </c>
      <c r="W37" s="54">
        <f ca="1">IF($D37=Março!$X$31, INDEX(Março!$Y$10:$Y$28, MATCH(W$34, Março!$X$10:$X$28, 0)), "")</f>
        <v>0</v>
      </c>
    </row>
    <row r="38" spans="2:23" ht="18.75" x14ac:dyDescent="0.25">
      <c r="B38" s="79">
        <v>2025</v>
      </c>
      <c r="C38" s="80">
        <v>45748</v>
      </c>
      <c r="D38" s="82" t="s">
        <v>9</v>
      </c>
      <c r="E38" s="54">
        <f ca="1">IF($D38=Abril!$X$31, INDEX(Abril!$Y$10:$Y$28, MATCH(E$34, Abril!$X$10:$X$28, 0)), "")</f>
        <v>0</v>
      </c>
      <c r="F38" s="54">
        <f ca="1">IF($D38=Abril!$X$31, INDEX(Abril!$Y$10:$Y$28, MATCH(F$34, Abril!$X$10:$X$28, 0)), "")</f>
        <v>0</v>
      </c>
      <c r="G38" s="54">
        <f ca="1">IF($D38=Abril!$X$31, INDEX(Abril!$Y$10:$Y$28, MATCH(G$34, Abril!$X$10:$X$28, 0)), "")</f>
        <v>0</v>
      </c>
      <c r="H38" s="54">
        <f ca="1">IF($D38=Abril!$X$31, INDEX(Abril!$Y$10:$Y$28, MATCH(H$34, Abril!$X$10:$X$28, 0)), "")</f>
        <v>0</v>
      </c>
      <c r="I38" s="54">
        <f ca="1">IF($D38=Abril!$X$31, INDEX(Abril!$Y$10:$Y$28, MATCH(I$34, Abril!$X$10:$X$28, 0)), "")</f>
        <v>0</v>
      </c>
      <c r="J38" s="54">
        <f ca="1">IF($D38=Abril!$X$31, INDEX(Abril!$Y$10:$Y$28, MATCH(J$34, Abril!$X$10:$X$28, 0)), "")</f>
        <v>0</v>
      </c>
      <c r="K38" s="54">
        <f ca="1">IF($D38=Abril!$X$31, INDEX(Abril!$Y$10:$Y$28, MATCH(K$34, Abril!$X$10:$X$28, 0)), "")</f>
        <v>0</v>
      </c>
      <c r="L38" s="54">
        <f ca="1">IF($D38=Abril!$X$31, INDEX(Abril!$Y$10:$Y$28, MATCH(L$34, Abril!$X$10:$X$28, 0)), "")</f>
        <v>0</v>
      </c>
      <c r="M38" s="54">
        <f ca="1">IF($D38=Abril!$X$31, INDEX(Abril!$Y$10:$Y$28, MATCH(M$34, Abril!$X$10:$X$28, 0)), "")</f>
        <v>0</v>
      </c>
      <c r="N38" s="54">
        <f ca="1">IF($D38=Abril!$X$31, INDEX(Abril!$Y$10:$Y$28, MATCH(N$34, Abril!$X$10:$X$28, 0)), "")</f>
        <v>0</v>
      </c>
      <c r="O38" s="54">
        <f ca="1">IF($D38=Abril!$X$31, INDEX(Abril!$Y$10:$Y$28, MATCH(O$34, Abril!$X$10:$X$28, 0)), "")</f>
        <v>0</v>
      </c>
      <c r="P38" s="54">
        <f ca="1">IF($D38=Abril!$X$31, INDEX(Abril!$Y$10:$Y$28, MATCH(P$34, Abril!$X$10:$X$28, 0)), "")</f>
        <v>0</v>
      </c>
      <c r="Q38" s="54">
        <f ca="1">IF($D38=Abril!$X$31, INDEX(Abril!$Y$10:$Y$28, MATCH(Q$34, Abril!$X$10:$X$28, 0)), "")</f>
        <v>0</v>
      </c>
      <c r="R38" s="54">
        <f ca="1">IF($D38=Abril!$X$31, INDEX(Abril!$Y$10:$Y$28, MATCH(R$34, Abril!$X$10:$X$28, 0)), "")</f>
        <v>0</v>
      </c>
      <c r="S38" s="54">
        <f ca="1">IF($D38=Abril!$X$31, INDEX(Abril!$Y$10:$Y$28, MATCH(S$34, Abril!$X$10:$X$28, 0)), "")</f>
        <v>0</v>
      </c>
      <c r="T38" s="54">
        <f ca="1">IF($D38=Abril!$X$31, INDEX(Abril!$Y$10:$Y$28, MATCH(T$34, Abril!$X$10:$X$28, 0)), "")</f>
        <v>0</v>
      </c>
      <c r="U38" s="54">
        <f ca="1">IF($D38=Abril!$X$31, INDEX(Abril!$Y$10:$Y$28, MATCH(U$34, Abril!$X$10:$X$28, 0)), "")</f>
        <v>0</v>
      </c>
      <c r="V38" s="54">
        <f ca="1">IF($D38=Abril!$X$31, INDEX(Abril!$Y$10:$Y$28, MATCH(V$34, Abril!$X$10:$X$28, 0)), "")</f>
        <v>0</v>
      </c>
      <c r="W38" s="54">
        <f ca="1">IF($D38=Abril!$X$31, INDEX(Abril!$Y$10:$Y$28, MATCH(W$34, Abril!$X$10:$X$28, 0)), "")</f>
        <v>0</v>
      </c>
    </row>
    <row r="39" spans="2:23" ht="18.75" x14ac:dyDescent="0.25">
      <c r="B39" s="79">
        <v>2025</v>
      </c>
      <c r="C39" s="80">
        <v>45778</v>
      </c>
      <c r="D39" s="82" t="s">
        <v>12</v>
      </c>
      <c r="E39" s="54">
        <f ca="1">IF($D39=Maio!$X$31, INDEX(Maio!$Y$10:$Y$28, MATCH(E$34, Maio!$X$10:$X$28, 0)), "")</f>
        <v>0</v>
      </c>
      <c r="F39" s="54">
        <f ca="1">IF($D39=Maio!$X$31, INDEX(Maio!$Y$10:$Y$28, MATCH(F$34, Maio!$X$10:$X$28, 0)), "")</f>
        <v>0</v>
      </c>
      <c r="G39" s="54">
        <f ca="1">IF($D39=Maio!$X$31, INDEX(Maio!$Y$10:$Y$28, MATCH(G$34, Maio!$X$10:$X$28, 0)), "")</f>
        <v>0</v>
      </c>
      <c r="H39" s="54">
        <f ca="1">IF($D39=Maio!$X$31, INDEX(Maio!$Y$10:$Y$28, MATCH(H$34, Maio!$X$10:$X$28, 0)), "")</f>
        <v>0</v>
      </c>
      <c r="I39" s="54">
        <f ca="1">IF($D39=Maio!$X$31, INDEX(Maio!$Y$10:$Y$28, MATCH(I$34, Maio!$X$10:$X$28, 0)), "")</f>
        <v>0</v>
      </c>
      <c r="J39" s="54">
        <f ca="1">IF($D39=Maio!$X$31, INDEX(Maio!$Y$10:$Y$28, MATCH(J$34, Maio!$X$10:$X$28, 0)), "")</f>
        <v>0</v>
      </c>
      <c r="K39" s="54">
        <f ca="1">IF($D39=Maio!$X$31, INDEX(Maio!$Y$10:$Y$28, MATCH(K$34, Maio!$X$10:$X$28, 0)), "")</f>
        <v>0</v>
      </c>
      <c r="L39" s="54">
        <f ca="1">IF($D39=Maio!$X$31, INDEX(Maio!$Y$10:$Y$28, MATCH(L$34, Maio!$X$10:$X$28, 0)), "")</f>
        <v>0</v>
      </c>
      <c r="M39" s="54">
        <f ca="1">IF($D39=Maio!$X$31, INDEX(Maio!$Y$10:$Y$28, MATCH(M$34, Maio!$X$10:$X$28, 0)), "")</f>
        <v>0</v>
      </c>
      <c r="N39" s="54">
        <f ca="1">IF($D39=Maio!$X$31, INDEX(Maio!$Y$10:$Y$28, MATCH(N$34, Maio!$X$10:$X$28, 0)), "")</f>
        <v>0</v>
      </c>
      <c r="O39" s="54">
        <f ca="1">IF($D39=Maio!$X$31, INDEX(Maio!$Y$10:$Y$28, MATCH(O$34, Maio!$X$10:$X$28, 0)), "")</f>
        <v>0</v>
      </c>
      <c r="P39" s="54">
        <f ca="1">IF($D39=Maio!$X$31, INDEX(Maio!$Y$10:$Y$28, MATCH(P$34, Maio!$X$10:$X$28, 0)), "")</f>
        <v>0</v>
      </c>
      <c r="Q39" s="54">
        <f ca="1">IF($D39=Maio!$X$31, INDEX(Maio!$Y$10:$Y$28, MATCH(Q$34, Maio!$X$10:$X$28, 0)), "")</f>
        <v>0</v>
      </c>
      <c r="R39" s="54">
        <f ca="1">IF($D39=Maio!$X$31, INDEX(Maio!$Y$10:$Y$28, MATCH(R$34, Maio!$X$10:$X$28, 0)), "")</f>
        <v>0</v>
      </c>
      <c r="S39" s="54">
        <f ca="1">IF($D39=Maio!$X$31, INDEX(Maio!$Y$10:$Y$28, MATCH(S$34, Maio!$X$10:$X$28, 0)), "")</f>
        <v>0</v>
      </c>
      <c r="T39" s="54">
        <f ca="1">IF($D39=Maio!$X$31, INDEX(Maio!$Y$10:$Y$28, MATCH(T$34, Maio!$X$10:$X$28, 0)), "")</f>
        <v>0</v>
      </c>
      <c r="U39" s="54">
        <f ca="1">IF($D39=Maio!$X$31, INDEX(Maio!$Y$10:$Y$28, MATCH(U$34, Maio!$X$10:$X$28, 0)), "")</f>
        <v>0</v>
      </c>
      <c r="V39" s="54">
        <f ca="1">IF($D39=Maio!$X$31, INDEX(Maio!$Y$10:$Y$28, MATCH(V$34, Maio!$X$10:$X$28, 0)), "")</f>
        <v>0</v>
      </c>
      <c r="W39" s="54">
        <f ca="1">IF($D39=Maio!$X$31, INDEX(Maio!$Y$10:$Y$28, MATCH(W$34, Maio!$X$10:$X$28, 0)), "")</f>
        <v>0</v>
      </c>
    </row>
    <row r="40" spans="2:23" ht="18.75" x14ac:dyDescent="0.25">
      <c r="B40" s="79">
        <v>2025</v>
      </c>
      <c r="C40" s="80">
        <v>45809</v>
      </c>
      <c r="D40" s="82" t="s">
        <v>15</v>
      </c>
      <c r="E40" s="54">
        <f ca="1">IF($D40=Junho!$X$31, INDEX(Junho!$Y$10:$Y$28, MATCH(E$34, Junho!$X$10:$X$28, 0)), "")</f>
        <v>0</v>
      </c>
      <c r="F40" s="54">
        <f ca="1">IF($D40=Junho!$X$31, INDEX(Junho!$Y$10:$Y$28, MATCH(F$34, Junho!$X$10:$X$28, 0)), "")</f>
        <v>0</v>
      </c>
      <c r="G40" s="54">
        <f ca="1">IF($D40=Junho!$X$31, INDEX(Junho!$Y$10:$Y$28, MATCH(G$34, Junho!$X$10:$X$28, 0)), "")</f>
        <v>0</v>
      </c>
      <c r="H40" s="54">
        <f ca="1">IF($D40=Junho!$X$31, INDEX(Junho!$Y$10:$Y$28, MATCH(H$34, Junho!$X$10:$X$28, 0)), "")</f>
        <v>0</v>
      </c>
      <c r="I40" s="54">
        <f ca="1">IF($D40=Junho!$X$31, INDEX(Junho!$Y$10:$Y$28, MATCH(I$34, Junho!$X$10:$X$28, 0)), "")</f>
        <v>0</v>
      </c>
      <c r="J40" s="54">
        <f ca="1">IF($D40=Junho!$X$31, INDEX(Junho!$Y$10:$Y$28, MATCH(J$34, Junho!$X$10:$X$28, 0)), "")</f>
        <v>0</v>
      </c>
      <c r="K40" s="54">
        <f ca="1">IF($D40=Junho!$X$31, INDEX(Junho!$Y$10:$Y$28, MATCH(K$34, Junho!$X$10:$X$28, 0)), "")</f>
        <v>0</v>
      </c>
      <c r="L40" s="54">
        <f ca="1">IF($D40=Junho!$X$31, INDEX(Junho!$Y$10:$Y$28, MATCH(L$34, Junho!$X$10:$X$28, 0)), "")</f>
        <v>0</v>
      </c>
      <c r="M40" s="54">
        <f ca="1">IF($D40=Junho!$X$31, INDEX(Junho!$Y$10:$Y$28, MATCH(M$34, Junho!$X$10:$X$28, 0)), "")</f>
        <v>0</v>
      </c>
      <c r="N40" s="54">
        <f ca="1">IF($D40=Junho!$X$31, INDEX(Junho!$Y$10:$Y$28, MATCH(N$34, Junho!$X$10:$X$28, 0)), "")</f>
        <v>0</v>
      </c>
      <c r="O40" s="54">
        <f ca="1">IF($D40=Junho!$X$31, INDEX(Junho!$Y$10:$Y$28, MATCH(O$34, Junho!$X$10:$X$28, 0)), "")</f>
        <v>0</v>
      </c>
      <c r="P40" s="54">
        <f ca="1">IF($D40=Junho!$X$31, INDEX(Junho!$Y$10:$Y$28, MATCH(P$34, Junho!$X$10:$X$28, 0)), "")</f>
        <v>0</v>
      </c>
      <c r="Q40" s="54">
        <f ca="1">IF($D40=Junho!$X$31, INDEX(Junho!$Y$10:$Y$28, MATCH(Q$34, Junho!$X$10:$X$28, 0)), "")</f>
        <v>0</v>
      </c>
      <c r="R40" s="54">
        <f ca="1">IF($D40=Junho!$X$31, INDEX(Junho!$Y$10:$Y$28, MATCH(R$34, Junho!$X$10:$X$28, 0)), "")</f>
        <v>0</v>
      </c>
      <c r="S40" s="54">
        <f ca="1">IF($D40=Junho!$X$31, INDEX(Junho!$Y$10:$Y$28, MATCH(S$34, Junho!$X$10:$X$28, 0)), "")</f>
        <v>0</v>
      </c>
      <c r="T40" s="54">
        <f ca="1">IF($D40=Junho!$X$31, INDEX(Junho!$Y$10:$Y$28, MATCH(T$34, Junho!$X$10:$X$28, 0)), "")</f>
        <v>0</v>
      </c>
      <c r="U40" s="54">
        <f ca="1">IF($D40=Junho!$X$31, INDEX(Junho!$Y$10:$Y$28, MATCH(U$34, Junho!$X$10:$X$28, 0)), "")</f>
        <v>0</v>
      </c>
      <c r="V40" s="54">
        <f ca="1">IF($D40=Junho!$X$31, INDEX(Junho!$Y$10:$Y$28, MATCH(V$34, Junho!$X$10:$X$28, 0)), "")</f>
        <v>0</v>
      </c>
      <c r="W40" s="54">
        <f ca="1">IF($D40=Junho!$X$31, INDEX(Junho!$Y$10:$Y$28, MATCH(W$34, Junho!$X$10:$X$28, 0)), "")</f>
        <v>0</v>
      </c>
    </row>
    <row r="41" spans="2:23" ht="18.75" x14ac:dyDescent="0.25">
      <c r="B41" s="79">
        <v>2025</v>
      </c>
      <c r="C41" s="80">
        <v>45839</v>
      </c>
      <c r="D41" s="82" t="s">
        <v>18</v>
      </c>
      <c r="E41" s="54">
        <f ca="1">IF($D41=Julho!$X$31, INDEX(Julho!$Y$10:$Y$28, MATCH(E$34, Julho!$X$10:$X$28, 0)), "")</f>
        <v>0</v>
      </c>
      <c r="F41" s="54">
        <f ca="1">IF($D41=Julho!$X$31, INDEX(Julho!$Y$10:$Y$28, MATCH(F$34, Julho!$X$10:$X$28, 0)), "")</f>
        <v>0</v>
      </c>
      <c r="G41" s="54">
        <f ca="1">IF($D41=Julho!$X$31, INDEX(Julho!$Y$10:$Y$28, MATCH(G$34, Julho!$X$10:$X$28, 0)), "")</f>
        <v>0</v>
      </c>
      <c r="H41" s="54">
        <f ca="1">IF($D41=Julho!$X$31, INDEX(Julho!$Y$10:$Y$28, MATCH(H$34, Julho!$X$10:$X$28, 0)), "")</f>
        <v>0</v>
      </c>
      <c r="I41" s="54">
        <f ca="1">IF($D41=Julho!$X$31, INDEX(Julho!$Y$10:$Y$28, MATCH(I$34, Julho!$X$10:$X$28, 0)), "")</f>
        <v>0</v>
      </c>
      <c r="J41" s="54">
        <f ca="1">IF($D41=Julho!$X$31, INDEX(Julho!$Y$10:$Y$28, MATCH(J$34, Julho!$X$10:$X$28, 0)), "")</f>
        <v>0</v>
      </c>
      <c r="K41" s="54">
        <f ca="1">IF($D41=Julho!$X$31, INDEX(Julho!$Y$10:$Y$28, MATCH(K$34, Julho!$X$10:$X$28, 0)), "")</f>
        <v>0</v>
      </c>
      <c r="L41" s="54">
        <f ca="1">IF($D41=Julho!$X$31, INDEX(Julho!$Y$10:$Y$28, MATCH(L$34, Julho!$X$10:$X$28, 0)), "")</f>
        <v>0</v>
      </c>
      <c r="M41" s="54">
        <f ca="1">IF($D41=Julho!$X$31, INDEX(Julho!$Y$10:$Y$28, MATCH(M$34, Julho!$X$10:$X$28, 0)), "")</f>
        <v>0</v>
      </c>
      <c r="N41" s="54">
        <f ca="1">IF($D41=Julho!$X$31, INDEX(Julho!$Y$10:$Y$28, MATCH(N$34, Julho!$X$10:$X$28, 0)), "")</f>
        <v>0</v>
      </c>
      <c r="O41" s="54">
        <f ca="1">IF($D41=Julho!$X$31, INDEX(Julho!$Y$10:$Y$28, MATCH(O$34, Julho!$X$10:$X$28, 0)), "")</f>
        <v>0</v>
      </c>
      <c r="P41" s="54">
        <f ca="1">IF($D41=Julho!$X$31, INDEX(Julho!$Y$10:$Y$28, MATCH(P$34, Julho!$X$10:$X$28, 0)), "")</f>
        <v>0</v>
      </c>
      <c r="Q41" s="54">
        <f ca="1">IF($D41=Julho!$X$31, INDEX(Julho!$Y$10:$Y$28, MATCH(Q$34, Julho!$X$10:$X$28, 0)), "")</f>
        <v>0</v>
      </c>
      <c r="R41" s="54">
        <f ca="1">IF($D41=Julho!$X$31, INDEX(Julho!$Y$10:$Y$28, MATCH(R$34, Julho!$X$10:$X$28, 0)), "")</f>
        <v>0</v>
      </c>
      <c r="S41" s="54">
        <f ca="1">IF($D41=Julho!$X$31, INDEX(Julho!$Y$10:$Y$28, MATCH(S$34, Julho!$X$10:$X$28, 0)), "")</f>
        <v>0</v>
      </c>
      <c r="T41" s="54">
        <f ca="1">IF($D41=Julho!$X$31, INDEX(Julho!$Y$10:$Y$28, MATCH(T$34, Julho!$X$10:$X$28, 0)), "")</f>
        <v>0</v>
      </c>
      <c r="U41" s="54">
        <f ca="1">IF($D41=Julho!$X$31, INDEX(Julho!$Y$10:$Y$28, MATCH(U$34, Julho!$X$10:$X$28, 0)), "")</f>
        <v>0</v>
      </c>
      <c r="V41" s="54">
        <f ca="1">IF($D41=Julho!$X$31, INDEX(Julho!$Y$10:$Y$28, MATCH(V$34, Julho!$X$10:$X$28, 0)), "")</f>
        <v>0</v>
      </c>
      <c r="W41" s="54">
        <f ca="1">IF($D41=Julho!$X$31, INDEX(Julho!$Y$10:$Y$28, MATCH(W$34, Julho!$X$10:$X$28, 0)), "")</f>
        <v>0</v>
      </c>
    </row>
    <row r="42" spans="2:23" ht="18.75" x14ac:dyDescent="0.25">
      <c r="B42" s="79">
        <v>2025</v>
      </c>
      <c r="C42" s="80">
        <v>45870</v>
      </c>
      <c r="D42" s="82" t="s">
        <v>21</v>
      </c>
      <c r="E42" s="54">
        <f ca="1">IF($D42=Agosto!$X$31, INDEX(Agosto!$Y$10:$Y$28, MATCH(E$34, Agosto!$X$10:$X$28, 0)), "")</f>
        <v>0</v>
      </c>
      <c r="F42" s="54">
        <f ca="1">IF($D42=Agosto!$X$31, INDEX(Agosto!$Y$10:$Y$28, MATCH(F$34, Agosto!$X$10:$X$28, 0)), "")</f>
        <v>0</v>
      </c>
      <c r="G42" s="54">
        <f ca="1">IF($D42=Agosto!$X$31, INDEX(Agosto!$Y$10:$Y$28, MATCH(G$34, Agosto!$X$10:$X$28, 0)), "")</f>
        <v>0</v>
      </c>
      <c r="H42" s="54">
        <f ca="1">IF($D42=Agosto!$X$31, INDEX(Agosto!$Y$10:$Y$28, MATCH(H$34, Agosto!$X$10:$X$28, 0)), "")</f>
        <v>0</v>
      </c>
      <c r="I42" s="54">
        <f ca="1">IF($D42=Agosto!$X$31, INDEX(Agosto!$Y$10:$Y$28, MATCH(I$34, Agosto!$X$10:$X$28, 0)), "")</f>
        <v>0</v>
      </c>
      <c r="J42" s="54">
        <f ca="1">IF($D42=Agosto!$X$31, INDEX(Agosto!$Y$10:$Y$28, MATCH(J$34, Agosto!$X$10:$X$28, 0)), "")</f>
        <v>0</v>
      </c>
      <c r="K42" s="54">
        <f ca="1">IF($D42=Agosto!$X$31, INDEX(Agosto!$Y$10:$Y$28, MATCH(K$34, Agosto!$X$10:$X$28, 0)), "")</f>
        <v>0</v>
      </c>
      <c r="L42" s="54">
        <f ca="1">IF($D42=Agosto!$X$31, INDEX(Agosto!$Y$10:$Y$28, MATCH(L$34, Agosto!$X$10:$X$28, 0)), "")</f>
        <v>0</v>
      </c>
      <c r="M42" s="54">
        <f ca="1">IF($D42=Agosto!$X$31, INDEX(Agosto!$Y$10:$Y$28, MATCH(M$34, Agosto!$X$10:$X$28, 0)), "")</f>
        <v>0</v>
      </c>
      <c r="N42" s="54">
        <f ca="1">IF($D42=Agosto!$X$31, INDEX(Agosto!$Y$10:$Y$28, MATCH(N$34, Agosto!$X$10:$X$28, 0)), "")</f>
        <v>0</v>
      </c>
      <c r="O42" s="54">
        <f ca="1">IF($D42=Agosto!$X$31, INDEX(Agosto!$Y$10:$Y$28, MATCH(O$34, Agosto!$X$10:$X$28, 0)), "")</f>
        <v>0</v>
      </c>
      <c r="P42" s="54">
        <f ca="1">IF($D42=Agosto!$X$31, INDEX(Agosto!$Y$10:$Y$28, MATCH(P$34, Agosto!$X$10:$X$28, 0)), "")</f>
        <v>0</v>
      </c>
      <c r="Q42" s="54">
        <f ca="1">IF($D42=Agosto!$X$31, INDEX(Agosto!$Y$10:$Y$28, MATCH(Q$34, Agosto!$X$10:$X$28, 0)), "")</f>
        <v>0</v>
      </c>
      <c r="R42" s="54">
        <f ca="1">IF($D42=Agosto!$X$31, INDEX(Agosto!$Y$10:$Y$28, MATCH(R$34, Agosto!$X$10:$X$28, 0)), "")</f>
        <v>0</v>
      </c>
      <c r="S42" s="54">
        <f ca="1">IF($D42=Agosto!$X$31, INDEX(Agosto!$Y$10:$Y$28, MATCH(S$34, Agosto!$X$10:$X$28, 0)), "")</f>
        <v>0</v>
      </c>
      <c r="T42" s="54">
        <f ca="1">IF($D42=Agosto!$X$31, INDEX(Agosto!$Y$10:$Y$28, MATCH(T$34, Agosto!$X$10:$X$28, 0)), "")</f>
        <v>0</v>
      </c>
      <c r="U42" s="54">
        <f ca="1">IF($D42=Agosto!$X$31, INDEX(Agosto!$Y$10:$Y$28, MATCH(U$34, Agosto!$X$10:$X$28, 0)), "")</f>
        <v>0</v>
      </c>
      <c r="V42" s="54">
        <f ca="1">IF($D42=Agosto!$X$31, INDEX(Agosto!$Y$10:$Y$28, MATCH(V$34, Agosto!$X$10:$X$28, 0)), "")</f>
        <v>0</v>
      </c>
      <c r="W42" s="54">
        <f ca="1">IF($D42=Agosto!$X$31, INDEX(Agosto!$Y$10:$Y$28, MATCH(W$34, Agosto!$X$10:$X$28, 0)), "")</f>
        <v>0</v>
      </c>
    </row>
    <row r="43" spans="2:23" ht="18.75" x14ac:dyDescent="0.25">
      <c r="B43" s="79">
        <v>2025</v>
      </c>
      <c r="C43" s="80">
        <v>45901</v>
      </c>
      <c r="D43" s="82" t="s">
        <v>24</v>
      </c>
      <c r="E43" s="54">
        <f ca="1">IF($D43=Setembro!$X$31, INDEX(Setembro!$Y$10:$Y$28, MATCH(E$34, Setembro!$X$10:$X$28, 0)), "")</f>
        <v>0</v>
      </c>
      <c r="F43" s="54">
        <f ca="1">IF($D43=Setembro!$X$31, INDEX(Setembro!$Y$10:$Y$28, MATCH(F$34, Setembro!$X$10:$X$28, 0)), "")</f>
        <v>0</v>
      </c>
      <c r="G43" s="54">
        <f ca="1">IF($D43=Setembro!$X$31, INDEX(Setembro!$Y$10:$Y$28, MATCH(G$34, Setembro!$X$10:$X$28, 0)), "")</f>
        <v>0</v>
      </c>
      <c r="H43" s="54">
        <f ca="1">IF($D43=Setembro!$X$31, INDEX(Setembro!$Y$10:$Y$28, MATCH(H$34, Setembro!$X$10:$X$28, 0)), "")</f>
        <v>0</v>
      </c>
      <c r="I43" s="54">
        <f ca="1">IF($D43=Setembro!$X$31, INDEX(Setembro!$Y$10:$Y$28, MATCH(I$34, Setembro!$X$10:$X$28, 0)), "")</f>
        <v>0</v>
      </c>
      <c r="J43" s="54">
        <f ca="1">IF($D43=Setembro!$X$31, INDEX(Setembro!$Y$10:$Y$28, MATCH(J$34, Setembro!$X$10:$X$28, 0)), "")</f>
        <v>0</v>
      </c>
      <c r="K43" s="54">
        <f ca="1">IF($D43=Setembro!$X$31, INDEX(Setembro!$Y$10:$Y$28, MATCH(K$34, Setembro!$X$10:$X$28, 0)), "")</f>
        <v>0</v>
      </c>
      <c r="L43" s="54">
        <f ca="1">IF($D43=Setembro!$X$31, INDEX(Setembro!$Y$10:$Y$28, MATCH(L$34, Setembro!$X$10:$X$28, 0)), "")</f>
        <v>0</v>
      </c>
      <c r="M43" s="54">
        <f ca="1">IF($D43=Setembro!$X$31, INDEX(Setembro!$Y$10:$Y$28, MATCH(M$34, Setembro!$X$10:$X$28, 0)), "")</f>
        <v>0</v>
      </c>
      <c r="N43" s="54">
        <f ca="1">IF($D43=Setembro!$X$31, INDEX(Setembro!$Y$10:$Y$28, MATCH(N$34, Setembro!$X$10:$X$28, 0)), "")</f>
        <v>0</v>
      </c>
      <c r="O43" s="54">
        <f ca="1">IF($D43=Setembro!$X$31, INDEX(Setembro!$Y$10:$Y$28, MATCH(O$34, Setembro!$X$10:$X$28, 0)), "")</f>
        <v>0</v>
      </c>
      <c r="P43" s="54">
        <f ca="1">IF($D43=Setembro!$X$31, INDEX(Setembro!$Y$10:$Y$28, MATCH(P$34, Setembro!$X$10:$X$28, 0)), "")</f>
        <v>0</v>
      </c>
      <c r="Q43" s="54">
        <f ca="1">IF($D43=Setembro!$X$31, INDEX(Setembro!$Y$10:$Y$28, MATCH(Q$34, Setembro!$X$10:$X$28, 0)), "")</f>
        <v>0</v>
      </c>
      <c r="R43" s="54">
        <f ca="1">IF($D43=Setembro!$X$31, INDEX(Setembro!$Y$10:$Y$28, MATCH(R$34, Setembro!$X$10:$X$28, 0)), "")</f>
        <v>0</v>
      </c>
      <c r="S43" s="54">
        <f ca="1">IF($D43=Setembro!$X$31, INDEX(Setembro!$Y$10:$Y$28, MATCH(S$34, Setembro!$X$10:$X$28, 0)), "")</f>
        <v>0</v>
      </c>
      <c r="T43" s="54">
        <f ca="1">IF($D43=Setembro!$X$31, INDEX(Setembro!$Y$10:$Y$28, MATCH(T$34, Setembro!$X$10:$X$28, 0)), "")</f>
        <v>0</v>
      </c>
      <c r="U43" s="54">
        <f ca="1">IF($D43=Setembro!$X$31, INDEX(Setembro!$Y$10:$Y$28, MATCH(U$34, Setembro!$X$10:$X$28, 0)), "")</f>
        <v>0</v>
      </c>
      <c r="V43" s="54">
        <f ca="1">IF($D43=Setembro!$X$31, INDEX(Setembro!$Y$10:$Y$28, MATCH(V$34, Setembro!$X$10:$X$28, 0)), "")</f>
        <v>0</v>
      </c>
      <c r="W43" s="54">
        <f ca="1">IF($D43=Setembro!$X$31, INDEX(Setembro!$Y$10:$Y$28, MATCH(W$34, Setembro!$X$10:$X$28, 0)), "")</f>
        <v>0</v>
      </c>
    </row>
    <row r="44" spans="2:23" ht="18.75" x14ac:dyDescent="0.25">
      <c r="B44" s="79">
        <v>2025</v>
      </c>
      <c r="C44" s="80">
        <v>45931</v>
      </c>
      <c r="D44" s="82" t="s">
        <v>27</v>
      </c>
      <c r="E44" s="54">
        <f ca="1">IF($D44=Outubro!$X$31, INDEX(Outubro!$Y$10:$Y$28, MATCH(E$34, Outubro!$X$10:$X$28, 0)), "")</f>
        <v>0</v>
      </c>
      <c r="F44" s="54">
        <f ca="1">IF($D44=Outubro!$X$31, INDEX(Outubro!$Y$10:$Y$28, MATCH(F$34, Outubro!$X$10:$X$28, 0)), "")</f>
        <v>0</v>
      </c>
      <c r="G44" s="54">
        <f ca="1">IF($D44=Outubro!$X$31, INDEX(Outubro!$Y$10:$Y$28, MATCH(G$34, Outubro!$X$10:$X$28, 0)), "")</f>
        <v>0</v>
      </c>
      <c r="H44" s="54">
        <f ca="1">IF($D44=Outubro!$X$31, INDEX(Outubro!$Y$10:$Y$28, MATCH(H$34, Outubro!$X$10:$X$28, 0)), "")</f>
        <v>0</v>
      </c>
      <c r="I44" s="54">
        <f ca="1">IF($D44=Outubro!$X$31, INDEX(Outubro!$Y$10:$Y$28, MATCH(I$34, Outubro!$X$10:$X$28, 0)), "")</f>
        <v>0</v>
      </c>
      <c r="J44" s="54">
        <f ca="1">IF($D44=Outubro!$X$31, INDEX(Outubro!$Y$10:$Y$28, MATCH(J$34, Outubro!$X$10:$X$28, 0)), "")</f>
        <v>0</v>
      </c>
      <c r="K44" s="54">
        <f ca="1">IF($D44=Outubro!$X$31, INDEX(Outubro!$Y$10:$Y$28, MATCH(K$34, Outubro!$X$10:$X$28, 0)), "")</f>
        <v>0</v>
      </c>
      <c r="L44" s="54">
        <f ca="1">IF($D44=Outubro!$X$31, INDEX(Outubro!$Y$10:$Y$28, MATCH(L$34, Outubro!$X$10:$X$28, 0)), "")</f>
        <v>0</v>
      </c>
      <c r="M44" s="54">
        <f ca="1">IF($D44=Outubro!$X$31, INDEX(Outubro!$Y$10:$Y$28, MATCH(M$34, Outubro!$X$10:$X$28, 0)), "")</f>
        <v>0</v>
      </c>
      <c r="N44" s="54">
        <f ca="1">IF($D44=Outubro!$X$31, INDEX(Outubro!$Y$10:$Y$28, MATCH(N$34, Outubro!$X$10:$X$28, 0)), "")</f>
        <v>0</v>
      </c>
      <c r="O44" s="54">
        <f ca="1">IF($D44=Outubro!$X$31, INDEX(Outubro!$Y$10:$Y$28, MATCH(O$34, Outubro!$X$10:$X$28, 0)), "")</f>
        <v>0</v>
      </c>
      <c r="P44" s="54">
        <f ca="1">IF($D44=Outubro!$X$31, INDEX(Outubro!$Y$10:$Y$28, MATCH(P$34, Outubro!$X$10:$X$28, 0)), "")</f>
        <v>0</v>
      </c>
      <c r="Q44" s="54">
        <f ca="1">IF($D44=Outubro!$X$31, INDEX(Outubro!$Y$10:$Y$28, MATCH(Q$34, Outubro!$X$10:$X$28, 0)), "")</f>
        <v>0</v>
      </c>
      <c r="R44" s="54">
        <f ca="1">IF($D44=Outubro!$X$31, INDEX(Outubro!$Y$10:$Y$28, MATCH(R$34, Outubro!$X$10:$X$28, 0)), "")</f>
        <v>0</v>
      </c>
      <c r="S44" s="54">
        <f ca="1">IF($D44=Outubro!$X$31, INDEX(Outubro!$Y$10:$Y$28, MATCH(S$34, Outubro!$X$10:$X$28, 0)), "")</f>
        <v>0</v>
      </c>
      <c r="T44" s="54">
        <f ca="1">IF($D44=Outubro!$X$31, INDEX(Outubro!$Y$10:$Y$28, MATCH(T$34, Outubro!$X$10:$X$28, 0)), "")</f>
        <v>0</v>
      </c>
      <c r="U44" s="54">
        <f ca="1">IF($D44=Outubro!$X$31, INDEX(Outubro!$Y$10:$Y$28, MATCH(U$34, Outubro!$X$10:$X$28, 0)), "")</f>
        <v>0</v>
      </c>
      <c r="V44" s="54">
        <f ca="1">IF($D44=Outubro!$X$31, INDEX(Outubro!$Y$10:$Y$28, MATCH(V$34, Outubro!$X$10:$X$28, 0)), "")</f>
        <v>0</v>
      </c>
      <c r="W44" s="54">
        <f ca="1">IF($D44=Outubro!$X$31, INDEX(Outubro!$Y$10:$Y$28, MATCH(W$34, Outubro!$X$10:$X$28, 0)), "")</f>
        <v>0</v>
      </c>
    </row>
    <row r="45" spans="2:23" ht="18.75" x14ac:dyDescent="0.25">
      <c r="B45" s="79">
        <v>2025</v>
      </c>
      <c r="C45" s="80">
        <v>45962</v>
      </c>
      <c r="D45" s="82" t="s">
        <v>29</v>
      </c>
      <c r="E45" s="54">
        <f ca="1">IF($D45=Novembro!$X$31, INDEX(Novembro!$Y$10:$Y$28, MATCH(E$34, Novembro!$X$10:$X$28, 0)), "")</f>
        <v>0</v>
      </c>
      <c r="F45" s="54">
        <f ca="1">IF($D45=Novembro!$X$31, INDEX(Novembro!$Y$10:$Y$28, MATCH(F$34, Novembro!$X$10:$X$28, 0)), "")</f>
        <v>0</v>
      </c>
      <c r="G45" s="54">
        <f ca="1">IF($D45=Novembro!$X$31, INDEX(Novembro!$Y$10:$Y$28, MATCH(G$34, Novembro!$X$10:$X$28, 0)), "")</f>
        <v>0</v>
      </c>
      <c r="H45" s="54">
        <f ca="1">IF($D45=Novembro!$X$31, INDEX(Novembro!$Y$10:$Y$28, MATCH(H$34, Novembro!$X$10:$X$28, 0)), "")</f>
        <v>0</v>
      </c>
      <c r="I45" s="54">
        <f ca="1">IF($D45=Novembro!$X$31, INDEX(Novembro!$Y$10:$Y$28, MATCH(I$34, Novembro!$X$10:$X$28, 0)), "")</f>
        <v>0</v>
      </c>
      <c r="J45" s="54">
        <f ca="1">IF($D45=Novembro!$X$31, INDEX(Novembro!$Y$10:$Y$28, MATCH(J$34, Novembro!$X$10:$X$28, 0)), "")</f>
        <v>0</v>
      </c>
      <c r="K45" s="54">
        <f ca="1">IF($D45=Novembro!$X$31, INDEX(Novembro!$Y$10:$Y$28, MATCH(K$34, Novembro!$X$10:$X$28, 0)), "")</f>
        <v>0</v>
      </c>
      <c r="L45" s="54">
        <f ca="1">IF($D45=Novembro!$X$31, INDEX(Novembro!$Y$10:$Y$28, MATCH(L$34, Novembro!$X$10:$X$28, 0)), "")</f>
        <v>0</v>
      </c>
      <c r="M45" s="54">
        <f ca="1">IF($D45=Novembro!$X$31, INDEX(Novembro!$Y$10:$Y$28, MATCH(M$34, Novembro!$X$10:$X$28, 0)), "")</f>
        <v>0</v>
      </c>
      <c r="N45" s="54">
        <f ca="1">IF($D45=Novembro!$X$31, INDEX(Novembro!$Y$10:$Y$28, MATCH(N$34, Novembro!$X$10:$X$28, 0)), "")</f>
        <v>0</v>
      </c>
      <c r="O45" s="54">
        <f ca="1">IF($D45=Novembro!$X$31, INDEX(Novembro!$Y$10:$Y$28, MATCH(O$34, Novembro!$X$10:$X$28, 0)), "")</f>
        <v>0</v>
      </c>
      <c r="P45" s="54">
        <f ca="1">IF($D45=Novembro!$X$31, INDEX(Novembro!$Y$10:$Y$28, MATCH(P$34, Novembro!$X$10:$X$28, 0)), "")</f>
        <v>0</v>
      </c>
      <c r="Q45" s="54">
        <f ca="1">IF($D45=Novembro!$X$31, INDEX(Novembro!$Y$10:$Y$28, MATCH(Q$34, Novembro!$X$10:$X$28, 0)), "")</f>
        <v>0</v>
      </c>
      <c r="R45" s="54">
        <f ca="1">IF($D45=Novembro!$X$31, INDEX(Novembro!$Y$10:$Y$28, MATCH(R$34, Novembro!$X$10:$X$28, 0)), "")</f>
        <v>0</v>
      </c>
      <c r="S45" s="54">
        <f ca="1">IF($D45=Novembro!$X$31, INDEX(Novembro!$Y$10:$Y$28, MATCH(S$34, Novembro!$X$10:$X$28, 0)), "")</f>
        <v>0</v>
      </c>
      <c r="T45" s="54">
        <f ca="1">IF($D45=Novembro!$X$31, INDEX(Novembro!$Y$10:$Y$28, MATCH(T$34, Novembro!$X$10:$X$28, 0)), "")</f>
        <v>0</v>
      </c>
      <c r="U45" s="54">
        <f ca="1">IF($D45=Novembro!$X$31, INDEX(Novembro!$Y$10:$Y$28, MATCH(U$34, Novembro!$X$10:$X$28, 0)), "")</f>
        <v>0</v>
      </c>
      <c r="V45" s="54">
        <f ca="1">IF($D45=Novembro!$X$31, INDEX(Novembro!$Y$10:$Y$28, MATCH(V$34, Novembro!$X$10:$X$28, 0)), "")</f>
        <v>0</v>
      </c>
      <c r="W45" s="54">
        <f ca="1">IF($D45=Novembro!$X$31, INDEX(Novembro!$Y$10:$Y$28, MATCH(W$34, Novembro!$X$10:$X$28, 0)), "")</f>
        <v>0</v>
      </c>
    </row>
    <row r="46" spans="2:23" ht="18.75" x14ac:dyDescent="0.25">
      <c r="B46" s="79">
        <v>2025</v>
      </c>
      <c r="C46" s="80">
        <v>45992</v>
      </c>
      <c r="D46" s="82" t="s">
        <v>32</v>
      </c>
      <c r="E46" s="54">
        <f ca="1">IF($D46=Dezembro!$X$31, INDEX(Dezembro!$Y$10:$Y$28, MATCH(E$34, Dezembro!$X$10:$X$28, 0)), "")</f>
        <v>0</v>
      </c>
      <c r="F46" s="54">
        <f ca="1">IF($D46=Dezembro!$X$31, INDEX(Dezembro!$Y$10:$Y$28, MATCH(F$34, Dezembro!$X$10:$X$28, 0)), "")</f>
        <v>0</v>
      </c>
      <c r="G46" s="54">
        <f ca="1">IF($D46=Dezembro!$X$31, INDEX(Dezembro!$Y$10:$Y$28, MATCH(G$34, Dezembro!$X$10:$X$28, 0)), "")</f>
        <v>0</v>
      </c>
      <c r="H46" s="54">
        <f ca="1">IF($D46=Dezembro!$X$31, INDEX(Dezembro!$Y$10:$Y$28, MATCH(H$34, Dezembro!$X$10:$X$28, 0)), "")</f>
        <v>0</v>
      </c>
      <c r="I46" s="54">
        <f ca="1">IF($D46=Dezembro!$X$31, INDEX(Dezembro!$Y$10:$Y$28, MATCH(I$34, Dezembro!$X$10:$X$28, 0)), "")</f>
        <v>0</v>
      </c>
      <c r="J46" s="54">
        <f ca="1">IF($D46=Dezembro!$X$31, INDEX(Dezembro!$Y$10:$Y$28, MATCH(J$34, Dezembro!$X$10:$X$28, 0)), "")</f>
        <v>0</v>
      </c>
      <c r="K46" s="54">
        <f ca="1">IF($D46=Dezembro!$X$31, INDEX(Dezembro!$Y$10:$Y$28, MATCH(K$34, Dezembro!$X$10:$X$28, 0)), "")</f>
        <v>0</v>
      </c>
      <c r="L46" s="54">
        <f ca="1">IF($D46=Dezembro!$X$31, INDEX(Dezembro!$Y$10:$Y$28, MATCH(L$34, Dezembro!$X$10:$X$28, 0)), "")</f>
        <v>0</v>
      </c>
      <c r="M46" s="54">
        <f ca="1">IF($D46=Dezembro!$X$31, INDEX(Dezembro!$Y$10:$Y$28, MATCH(M$34, Dezembro!$X$10:$X$28, 0)), "")</f>
        <v>0</v>
      </c>
      <c r="N46" s="54">
        <f ca="1">IF($D46=Dezembro!$X$31, INDEX(Dezembro!$Y$10:$Y$28, MATCH(N$34, Dezembro!$X$10:$X$28, 0)), "")</f>
        <v>0</v>
      </c>
      <c r="O46" s="54">
        <f ca="1">IF($D46=Dezembro!$X$31, INDEX(Dezembro!$Y$10:$Y$28, MATCH(O$34, Dezembro!$X$10:$X$28, 0)), "")</f>
        <v>0</v>
      </c>
      <c r="P46" s="54">
        <f ca="1">IF($D46=Dezembro!$X$31, INDEX(Dezembro!$Y$10:$Y$28, MATCH(P$34, Dezembro!$X$10:$X$28, 0)), "")</f>
        <v>0</v>
      </c>
      <c r="Q46" s="54">
        <f ca="1">IF($D46=Dezembro!$X$31, INDEX(Dezembro!$Y$10:$Y$28, MATCH(Q$34, Dezembro!$X$10:$X$28, 0)), "")</f>
        <v>0</v>
      </c>
      <c r="R46" s="54">
        <f ca="1">IF($D46=Dezembro!$X$31, INDEX(Dezembro!$Y$10:$Y$28, MATCH(R$34, Dezembro!$X$10:$X$28, 0)), "")</f>
        <v>0</v>
      </c>
      <c r="S46" s="54">
        <f ca="1">IF($D46=Dezembro!$X$31, INDEX(Dezembro!$Y$10:$Y$28, MATCH(S$34, Dezembro!$X$10:$X$28, 0)), "")</f>
        <v>0</v>
      </c>
      <c r="T46" s="54">
        <f ca="1">IF($D46=Dezembro!$X$31, INDEX(Dezembro!$Y$10:$Y$28, MATCH(T$34, Dezembro!$X$10:$X$28, 0)), "")</f>
        <v>0</v>
      </c>
      <c r="U46" s="54">
        <f ca="1">IF($D46=Dezembro!$X$31, INDEX(Dezembro!$Y$10:$Y$28, MATCH(U$34, Dezembro!$X$10:$X$28, 0)), "")</f>
        <v>0</v>
      </c>
      <c r="V46" s="54">
        <f ca="1">IF($D46=Dezembro!$X$31, INDEX(Dezembro!$Y$10:$Y$28, MATCH(V$34, Dezembro!$X$10:$X$28, 0)), "")</f>
        <v>0</v>
      </c>
      <c r="W46" s="54">
        <f ca="1">IF($D46=Dezembro!$X$31, INDEX(Dezembro!$Y$10:$Y$28, MATCH(W$34, Dezembro!$X$10:$X$28, 0)), "")</f>
        <v>0</v>
      </c>
    </row>
    <row r="47" spans="2:23" ht="18.75" x14ac:dyDescent="0.25">
      <c r="B47" s="83">
        <v>2026</v>
      </c>
      <c r="C47" s="107">
        <v>46023</v>
      </c>
      <c r="D47" s="84" t="s">
        <v>35</v>
      </c>
      <c r="E47" s="55">
        <f ca="1">IF($D47=January!$X$31, INDEX(January!$Y$10:$Y$28, MATCH(E$34, January!$X$10:$X$28, 0)), "")</f>
        <v>0</v>
      </c>
      <c r="F47" s="55">
        <f ca="1">IF($D47=January!$X$31, INDEX(January!$Y$10:$Y$28, MATCH(F$34, January!$X$10:$X$28, 0)), "")</f>
        <v>0</v>
      </c>
      <c r="G47" s="55">
        <f ca="1">IF($D47=January!$X$31, INDEX(January!$Y$10:$Y$28, MATCH(G$34, January!$X$10:$X$28, 0)), "")</f>
        <v>0</v>
      </c>
      <c r="H47" s="55">
        <f ca="1">IF($D47=January!$X$31, INDEX(January!$Y$10:$Y$28, MATCH(H$34, January!$X$10:$X$28, 0)), "")</f>
        <v>0</v>
      </c>
      <c r="I47" s="55">
        <f ca="1">IF($D47=January!$X$31, INDEX(January!$Y$10:$Y$28, MATCH(I$34, January!$X$10:$X$28, 0)), "")</f>
        <v>0</v>
      </c>
      <c r="J47" s="55">
        <f ca="1">IF($D47=January!$X$31, INDEX(January!$Y$10:$Y$28, MATCH(J$34, January!$X$10:$X$28, 0)), "")</f>
        <v>0</v>
      </c>
      <c r="K47" s="55">
        <f ca="1">IF($D47=January!$X$31, INDEX(January!$Y$10:$Y$28, MATCH(K$34, January!$X$10:$X$28, 0)), "")</f>
        <v>0</v>
      </c>
      <c r="L47" s="55">
        <f ca="1">IF($D47=January!$X$31, INDEX(January!$Y$10:$Y$28, MATCH(L$34, January!$X$10:$X$28, 0)), "")</f>
        <v>0</v>
      </c>
      <c r="M47" s="55">
        <f ca="1">IF($D47=January!$X$31, INDEX(January!$Y$10:$Y$28, MATCH(M$34, January!$X$10:$X$28, 0)), "")</f>
        <v>0</v>
      </c>
      <c r="N47" s="55">
        <f ca="1">IF($D47=January!$X$31, INDEX(January!$Y$10:$Y$28, MATCH(N$34, January!$X$10:$X$28, 0)), "")</f>
        <v>0</v>
      </c>
      <c r="O47" s="55">
        <f ca="1">IF($D47=January!$X$31, INDEX(January!$Y$10:$Y$28, MATCH(O$34, January!$X$10:$X$28, 0)), "")</f>
        <v>0</v>
      </c>
      <c r="P47" s="55">
        <f ca="1">IF($D47=January!$X$31, INDEX(January!$Y$10:$Y$28, MATCH(P$34, January!$X$10:$X$28, 0)), "")</f>
        <v>0</v>
      </c>
      <c r="Q47" s="55">
        <f ca="1">IF($D47=January!$X$31, INDEX(January!$Y$10:$Y$28, MATCH(Q$34, January!$X$10:$X$28, 0)), "")</f>
        <v>0</v>
      </c>
      <c r="R47" s="55">
        <f ca="1">IF($D47=January!$X$31, INDEX(January!$Y$10:$Y$28, MATCH(R$34, January!$X$10:$X$28, 0)), "")</f>
        <v>0</v>
      </c>
      <c r="S47" s="55">
        <f ca="1">IF($D47=January!$X$31, INDEX(January!$Y$10:$Y$28, MATCH(S$34, January!$X$10:$X$28, 0)), "")</f>
        <v>0</v>
      </c>
      <c r="T47" s="55">
        <f ca="1">IF($D47=January!$X$31, INDEX(January!$Y$10:$Y$28, MATCH(T$34, January!$X$10:$X$28, 0)), "")</f>
        <v>0</v>
      </c>
      <c r="U47" s="55">
        <f ca="1">IF($D47=January!$X$31, INDEX(January!$Y$10:$Y$28, MATCH(U$34, January!$X$10:$X$28, 0)), "")</f>
        <v>0</v>
      </c>
      <c r="V47" s="55">
        <f ca="1">IF($D47=January!$X$31, INDEX(January!$Y$10:$Y$28, MATCH(V$34, January!$X$10:$X$28, 0)), "")</f>
        <v>0</v>
      </c>
      <c r="W47" s="55">
        <f ca="1">IF($D47=January!$X$31, INDEX(January!$Y$10:$Y$28, MATCH(W$34, January!$X$10:$X$28, 0)), "")</f>
        <v>0</v>
      </c>
    </row>
    <row r="48" spans="2:23" ht="18.75" x14ac:dyDescent="0.25">
      <c r="B48" s="83">
        <v>2026</v>
      </c>
      <c r="C48" s="107">
        <v>46054</v>
      </c>
      <c r="D48" s="84" t="s">
        <v>38</v>
      </c>
      <c r="E48" s="55">
        <f ca="1">IF($D48=February!$X$31, INDEX(February!$Y$10:$Y$28, MATCH(E$34, February!$X$10:$X$28, 0)), "")</f>
        <v>0</v>
      </c>
      <c r="F48" s="55">
        <f ca="1">IF($D48=February!$X$31, INDEX(February!$Y$10:$Y$28, MATCH(F$34, February!$X$10:$X$28, 0)), "")</f>
        <v>0</v>
      </c>
      <c r="G48" s="55">
        <f ca="1">IF($D48=February!$X$31, INDEX(February!$Y$10:$Y$28, MATCH(G$34, February!$X$10:$X$28, 0)), "")</f>
        <v>0</v>
      </c>
      <c r="H48" s="55">
        <f ca="1">IF($D48=February!$X$31, INDEX(February!$Y$10:$Y$28, MATCH(H$34, February!$X$10:$X$28, 0)), "")</f>
        <v>0</v>
      </c>
      <c r="I48" s="55">
        <f ca="1">IF($D48=February!$X$31, INDEX(February!$Y$10:$Y$28, MATCH(I$34, February!$X$10:$X$28, 0)), "")</f>
        <v>0</v>
      </c>
      <c r="J48" s="55">
        <f ca="1">IF($D48=February!$X$31, INDEX(February!$Y$10:$Y$28, MATCH(J$34, February!$X$10:$X$28, 0)), "")</f>
        <v>0</v>
      </c>
      <c r="K48" s="55">
        <f ca="1">IF($D48=February!$X$31, INDEX(February!$Y$10:$Y$28, MATCH(K$34, February!$X$10:$X$28, 0)), "")</f>
        <v>0</v>
      </c>
      <c r="L48" s="55">
        <f ca="1">IF($D48=February!$X$31, INDEX(February!$Y$10:$Y$28, MATCH(L$34, February!$X$10:$X$28, 0)), "")</f>
        <v>0</v>
      </c>
      <c r="M48" s="55">
        <f ca="1">IF($D48=February!$X$31, INDEX(February!$Y$10:$Y$28, MATCH(M$34, February!$X$10:$X$28, 0)), "")</f>
        <v>0</v>
      </c>
      <c r="N48" s="55">
        <f ca="1">IF($D48=February!$X$31, INDEX(February!$Y$10:$Y$28, MATCH(N$34, February!$X$10:$X$28, 0)), "")</f>
        <v>0</v>
      </c>
      <c r="O48" s="55">
        <f ca="1">IF($D48=February!$X$31, INDEX(February!$Y$10:$Y$28, MATCH(O$34, February!$X$10:$X$28, 0)), "")</f>
        <v>0</v>
      </c>
      <c r="P48" s="55">
        <f ca="1">IF($D48=February!$X$31, INDEX(February!$Y$10:$Y$28, MATCH(P$34, February!$X$10:$X$28, 0)), "")</f>
        <v>0</v>
      </c>
      <c r="Q48" s="55">
        <f ca="1">IF($D48=February!$X$31, INDEX(February!$Y$10:$Y$28, MATCH(Q$34, February!$X$10:$X$28, 0)), "")</f>
        <v>0</v>
      </c>
      <c r="R48" s="55">
        <f ca="1">IF($D48=February!$X$31, INDEX(February!$Y$10:$Y$28, MATCH(R$34, February!$X$10:$X$28, 0)), "")</f>
        <v>0</v>
      </c>
      <c r="S48" s="55">
        <f ca="1">IF($D48=February!$X$31, INDEX(February!$Y$10:$Y$28, MATCH(S$34, February!$X$10:$X$28, 0)), "")</f>
        <v>0</v>
      </c>
      <c r="T48" s="55">
        <f ca="1">IF($D48=February!$X$31, INDEX(February!$Y$10:$Y$28, MATCH(T$34, February!$X$10:$X$28, 0)), "")</f>
        <v>0</v>
      </c>
      <c r="U48" s="55">
        <f ca="1">IF($D48=February!$X$31, INDEX(February!$Y$10:$Y$28, MATCH(U$34, February!$X$10:$X$28, 0)), "")</f>
        <v>0</v>
      </c>
      <c r="V48" s="55">
        <f ca="1">IF($D48=February!$X$31, INDEX(February!$Y$10:$Y$28, MATCH(V$34, February!$X$10:$X$28, 0)), "")</f>
        <v>0</v>
      </c>
      <c r="W48" s="55">
        <f ca="1">IF($D48=February!$X$31, INDEX(February!$Y$10:$Y$28, MATCH(W$34, February!$X$10:$X$28, 0)), "")</f>
        <v>0</v>
      </c>
    </row>
    <row r="49" spans="2:29" ht="18.75" x14ac:dyDescent="0.25">
      <c r="B49" s="83">
        <v>2026</v>
      </c>
      <c r="C49" s="107">
        <v>46082</v>
      </c>
      <c r="D49" s="84" t="s">
        <v>41</v>
      </c>
      <c r="E49" s="55">
        <f ca="1">IF($D49=March!$X$31, INDEX(March!$Y$10:$Y$28, MATCH(E$34, March!$X$10:$X$28, 0)), "")</f>
        <v>0</v>
      </c>
      <c r="F49" s="55">
        <f ca="1">IF($D49=March!$X$31, INDEX(March!$Y$10:$Y$28, MATCH(F$34, March!$X$10:$X$28, 0)), "")</f>
        <v>0</v>
      </c>
      <c r="G49" s="55">
        <f ca="1">IF($D49=March!$X$31, INDEX(March!$Y$10:$Y$28, MATCH(G$34, March!$X$10:$X$28, 0)), "")</f>
        <v>0</v>
      </c>
      <c r="H49" s="55">
        <f ca="1">IF($D49=March!$X$31, INDEX(March!$Y$10:$Y$28, MATCH(H$34, March!$X$10:$X$28, 0)), "")</f>
        <v>0</v>
      </c>
      <c r="I49" s="55">
        <f ca="1">IF($D49=March!$X$31, INDEX(March!$Y$10:$Y$28, MATCH(I$34, March!$X$10:$X$28, 0)), "")</f>
        <v>0</v>
      </c>
      <c r="J49" s="55">
        <f ca="1">IF($D49=March!$X$31, INDEX(March!$Y$10:$Y$28, MATCH(J$34, March!$X$10:$X$28, 0)), "")</f>
        <v>0</v>
      </c>
      <c r="K49" s="55">
        <f ca="1">IF($D49=March!$X$31, INDEX(March!$Y$10:$Y$28, MATCH(K$34, March!$X$10:$X$28, 0)), "")</f>
        <v>0</v>
      </c>
      <c r="L49" s="55">
        <f ca="1">IF($D49=March!$X$31, INDEX(March!$Y$10:$Y$28, MATCH(L$34, March!$X$10:$X$28, 0)), "")</f>
        <v>0</v>
      </c>
      <c r="M49" s="55">
        <f ca="1">IF($D49=March!$X$31, INDEX(March!$Y$10:$Y$28, MATCH(M$34, March!$X$10:$X$28, 0)), "")</f>
        <v>0</v>
      </c>
      <c r="N49" s="55">
        <f ca="1">IF($D49=March!$X$31, INDEX(March!$Y$10:$Y$28, MATCH(N$34, March!$X$10:$X$28, 0)), "")</f>
        <v>0</v>
      </c>
      <c r="O49" s="55">
        <f ca="1">IF($D49=March!$X$31, INDEX(March!$Y$10:$Y$28, MATCH(O$34, March!$X$10:$X$28, 0)), "")</f>
        <v>0</v>
      </c>
      <c r="P49" s="55">
        <f ca="1">IF($D49=March!$X$31, INDEX(March!$Y$10:$Y$28, MATCH(P$34, March!$X$10:$X$28, 0)), "")</f>
        <v>0</v>
      </c>
      <c r="Q49" s="55">
        <f ca="1">IF($D49=March!$X$31, INDEX(March!$Y$10:$Y$28, MATCH(Q$34, March!$X$10:$X$28, 0)), "")</f>
        <v>0</v>
      </c>
      <c r="R49" s="55">
        <f ca="1">IF($D49=March!$X$31, INDEX(March!$Y$10:$Y$28, MATCH(R$34, March!$X$10:$X$28, 0)), "")</f>
        <v>0</v>
      </c>
      <c r="S49" s="55">
        <f ca="1">IF($D49=March!$X$31, INDEX(March!$Y$10:$Y$28, MATCH(S$34, March!$X$10:$X$28, 0)), "")</f>
        <v>0</v>
      </c>
      <c r="T49" s="55">
        <f ca="1">IF($D49=March!$X$31, INDEX(March!$Y$10:$Y$28, MATCH(T$34, March!$X$10:$X$28, 0)), "")</f>
        <v>0</v>
      </c>
      <c r="U49" s="55">
        <f ca="1">IF($D49=March!$X$31, INDEX(March!$Y$10:$Y$28, MATCH(U$34, March!$X$10:$X$28, 0)), "")</f>
        <v>0</v>
      </c>
      <c r="V49" s="55">
        <f ca="1">IF($D49=March!$X$31, INDEX(March!$Y$10:$Y$28, MATCH(V$34, March!$X$10:$X$28, 0)), "")</f>
        <v>0</v>
      </c>
      <c r="W49" s="55">
        <f ca="1">IF($D49=March!$X$31, INDEX(March!$Y$10:$Y$28, MATCH(W$34, March!$X$10:$X$28, 0)), "")</f>
        <v>0</v>
      </c>
    </row>
    <row r="50" spans="2:29" ht="18.75" x14ac:dyDescent="0.25">
      <c r="B50" s="83">
        <v>2026</v>
      </c>
      <c r="C50" s="107">
        <v>46113</v>
      </c>
      <c r="D50" s="84" t="s">
        <v>44</v>
      </c>
      <c r="E50" s="55">
        <f ca="1">IF($D50=April!$X$31, INDEX(April!$Y$10:$Y$28, MATCH(E$34, April!$X$10:$X$28, 0)), "")</f>
        <v>0</v>
      </c>
      <c r="F50" s="55">
        <f ca="1">IF($D50=April!$X$31, INDEX(April!$Y$10:$Y$28, MATCH(F$34, April!$X$10:$X$28, 0)), "")</f>
        <v>0</v>
      </c>
      <c r="G50" s="55">
        <f ca="1">IF($D50=April!$X$31, INDEX(April!$Y$10:$Y$28, MATCH(G$34, April!$X$10:$X$28, 0)), "")</f>
        <v>0</v>
      </c>
      <c r="H50" s="55">
        <f ca="1">IF($D50=April!$X$31, INDEX(April!$Y$10:$Y$28, MATCH(H$34, April!$X$10:$X$28, 0)), "")</f>
        <v>0</v>
      </c>
      <c r="I50" s="55">
        <f ca="1">IF($D50=April!$X$31, INDEX(April!$Y$10:$Y$28, MATCH(I$34, April!$X$10:$X$28, 0)), "")</f>
        <v>0</v>
      </c>
      <c r="J50" s="55">
        <f ca="1">IF($D50=April!$X$31, INDEX(April!$Y$10:$Y$28, MATCH(J$34, April!$X$10:$X$28, 0)), "")</f>
        <v>0</v>
      </c>
      <c r="K50" s="55">
        <f ca="1">IF($D50=April!$X$31, INDEX(April!$Y$10:$Y$28, MATCH(K$34, April!$X$10:$X$28, 0)), "")</f>
        <v>0</v>
      </c>
      <c r="L50" s="55">
        <f ca="1">IF($D50=April!$X$31, INDEX(April!$Y$10:$Y$28, MATCH(L$34, April!$X$10:$X$28, 0)), "")</f>
        <v>0</v>
      </c>
      <c r="M50" s="55">
        <f ca="1">IF($D50=April!$X$31, INDEX(April!$Y$10:$Y$28, MATCH(M$34, April!$X$10:$X$28, 0)), "")</f>
        <v>0</v>
      </c>
      <c r="N50" s="55">
        <f ca="1">IF($D50=April!$X$31, INDEX(April!$Y$10:$Y$28, MATCH(N$34, April!$X$10:$X$28, 0)), "")</f>
        <v>0</v>
      </c>
      <c r="O50" s="55">
        <f ca="1">IF($D50=April!$X$31, INDEX(April!$Y$10:$Y$28, MATCH(O$34, April!$X$10:$X$28, 0)), "")</f>
        <v>0</v>
      </c>
      <c r="P50" s="55">
        <f ca="1">IF($D50=April!$X$31, INDEX(April!$Y$10:$Y$28, MATCH(P$34, April!$X$10:$X$28, 0)), "")</f>
        <v>0</v>
      </c>
      <c r="Q50" s="55">
        <f ca="1">IF($D50=April!$X$31, INDEX(April!$Y$10:$Y$28, MATCH(Q$34, April!$X$10:$X$28, 0)), "")</f>
        <v>0</v>
      </c>
      <c r="R50" s="55">
        <f ca="1">IF($D50=April!$X$31, INDEX(April!$Y$10:$Y$28, MATCH(R$34, April!$X$10:$X$28, 0)), "")</f>
        <v>0</v>
      </c>
      <c r="S50" s="55">
        <f ca="1">IF($D50=April!$X$31, INDEX(April!$Y$10:$Y$28, MATCH(S$34, April!$X$10:$X$28, 0)), "")</f>
        <v>0</v>
      </c>
      <c r="T50" s="55">
        <f ca="1">IF($D50=April!$X$31, INDEX(April!$Y$10:$Y$28, MATCH(T$34, April!$X$10:$X$28, 0)), "")</f>
        <v>0</v>
      </c>
      <c r="U50" s="55">
        <f ca="1">IF($D50=April!$X$31, INDEX(April!$Y$10:$Y$28, MATCH(U$34, April!$X$10:$X$28, 0)), "")</f>
        <v>0</v>
      </c>
      <c r="V50" s="55">
        <f ca="1">IF($D50=April!$X$31, INDEX(April!$Y$10:$Y$28, MATCH(V$34, April!$X$10:$X$28, 0)), "")</f>
        <v>0</v>
      </c>
      <c r="W50" s="55">
        <f ca="1">IF($D50=April!$X$31, INDEX(April!$Y$10:$Y$28, MATCH(W$34, April!$X$10:$X$28, 0)), "")</f>
        <v>0</v>
      </c>
      <c r="AC50" s="57" t="str">
        <f>IF($F80&lt;&gt;"",Janeiro!$X50,"")</f>
        <v/>
      </c>
    </row>
    <row r="51" spans="2:29" ht="18.75" x14ac:dyDescent="0.25">
      <c r="B51" s="83">
        <v>2026</v>
      </c>
      <c r="C51" s="107">
        <v>46143</v>
      </c>
      <c r="D51" s="84" t="s">
        <v>47</v>
      </c>
      <c r="E51" s="55">
        <f ca="1">IF($D51=May!$X$31, INDEX(May!$Y$10:$Y$28, MATCH(E$34, May!$X$10:$X$28, 0)), "")</f>
        <v>0</v>
      </c>
      <c r="F51" s="55">
        <f ca="1">IF($D51=May!$X$31, INDEX(May!$Y$10:$Y$28, MATCH(F$34, May!$X$10:$X$28, 0)), "")</f>
        <v>0</v>
      </c>
      <c r="G51" s="55">
        <f ca="1">IF($D51=May!$X$31, INDEX(May!$Y$10:$Y$28, MATCH(G$34, May!$X$10:$X$28, 0)), "")</f>
        <v>0</v>
      </c>
      <c r="H51" s="55">
        <f ca="1">IF($D51=May!$X$31, INDEX(May!$Y$10:$Y$28, MATCH(H$34, May!$X$10:$X$28, 0)), "")</f>
        <v>0</v>
      </c>
      <c r="I51" s="55">
        <f ca="1">IF($D51=May!$X$31, INDEX(May!$Y$10:$Y$28, MATCH(I$34, May!$X$10:$X$28, 0)), "")</f>
        <v>0</v>
      </c>
      <c r="J51" s="55">
        <f ca="1">IF($D51=May!$X$31, INDEX(May!$Y$10:$Y$28, MATCH(J$34, May!$X$10:$X$28, 0)), "")</f>
        <v>0</v>
      </c>
      <c r="K51" s="55">
        <f ca="1">IF($D51=May!$X$31, INDEX(May!$Y$10:$Y$28, MATCH(K$34, May!$X$10:$X$28, 0)), "")</f>
        <v>0</v>
      </c>
      <c r="L51" s="55">
        <f ca="1">IF($D51=May!$X$31, INDEX(May!$Y$10:$Y$28, MATCH(L$34, May!$X$10:$X$28, 0)), "")</f>
        <v>0</v>
      </c>
      <c r="M51" s="55">
        <f ca="1">IF($D51=May!$X$31, INDEX(May!$Y$10:$Y$28, MATCH(M$34, May!$X$10:$X$28, 0)), "")</f>
        <v>0</v>
      </c>
      <c r="N51" s="55">
        <f ca="1">IF($D51=May!$X$31, INDEX(May!$Y$10:$Y$28, MATCH(N$34, May!$X$10:$X$28, 0)), "")</f>
        <v>0</v>
      </c>
      <c r="O51" s="55">
        <f ca="1">IF($D51=May!$X$31, INDEX(May!$Y$10:$Y$28, MATCH(O$34, May!$X$10:$X$28, 0)), "")</f>
        <v>0</v>
      </c>
      <c r="P51" s="55">
        <f ca="1">IF($D51=May!$X$31, INDEX(May!$Y$10:$Y$28, MATCH(P$34, May!$X$10:$X$28, 0)), "")</f>
        <v>0</v>
      </c>
      <c r="Q51" s="55">
        <f ca="1">IF($D51=May!$X$31, INDEX(May!$Y$10:$Y$28, MATCH(Q$34, May!$X$10:$X$28, 0)), "")</f>
        <v>0</v>
      </c>
      <c r="R51" s="55">
        <f ca="1">IF($D51=May!$X$31, INDEX(May!$Y$10:$Y$28, MATCH(R$34, May!$X$10:$X$28, 0)), "")</f>
        <v>0</v>
      </c>
      <c r="S51" s="55">
        <f ca="1">IF($D51=May!$X$31, INDEX(May!$Y$10:$Y$28, MATCH(S$34, May!$X$10:$X$28, 0)), "")</f>
        <v>0</v>
      </c>
      <c r="T51" s="55">
        <f ca="1">IF($D51=May!$X$31, INDEX(May!$Y$10:$Y$28, MATCH(T$34, May!$X$10:$X$28, 0)), "")</f>
        <v>0</v>
      </c>
      <c r="U51" s="55">
        <f ca="1">IF($D51=May!$X$31, INDEX(May!$Y$10:$Y$28, MATCH(U$34, May!$X$10:$X$28, 0)), "")</f>
        <v>0</v>
      </c>
      <c r="V51" s="55">
        <f ca="1">IF($D51=May!$X$31, INDEX(May!$Y$10:$Y$28, MATCH(V$34, May!$X$10:$X$28, 0)), "")</f>
        <v>0</v>
      </c>
      <c r="W51" s="55">
        <f ca="1">IF($D51=May!$X$31, INDEX(May!$Y$10:$Y$28, MATCH(W$34, May!$X$10:$X$28, 0)), "")</f>
        <v>0</v>
      </c>
      <c r="AC51" s="57" t="str">
        <f>IF($F81&lt;&gt;"",Janeiro!#REF!,"")</f>
        <v/>
      </c>
    </row>
    <row r="52" spans="2:29" ht="18.75" x14ac:dyDescent="0.25">
      <c r="B52" s="83">
        <v>2026</v>
      </c>
      <c r="C52" s="107">
        <v>46174</v>
      </c>
      <c r="D52" s="84" t="s">
        <v>50</v>
      </c>
      <c r="E52" s="55">
        <f ca="1">IF($D52=June!$X$31, INDEX(June!$Y$10:$Y$28, MATCH(E$34, June!$X$10:$X$28, 0)), "")</f>
        <v>0</v>
      </c>
      <c r="F52" s="55">
        <f ca="1">IF($D52=June!$X$31, INDEX(June!$Y$10:$Y$28, MATCH(F$34, June!$X$10:$X$28, 0)), "")</f>
        <v>0</v>
      </c>
      <c r="G52" s="55">
        <f ca="1">IF($D52=June!$X$31, INDEX(June!$Y$10:$Y$28, MATCH(G$34, June!$X$10:$X$28, 0)), "")</f>
        <v>0</v>
      </c>
      <c r="H52" s="55">
        <f ca="1">IF($D52=June!$X$31, INDEX(June!$Y$10:$Y$28, MATCH(H$34, June!$X$10:$X$28, 0)), "")</f>
        <v>0</v>
      </c>
      <c r="I52" s="55">
        <f ca="1">IF($D52=June!$X$31, INDEX(June!$Y$10:$Y$28, MATCH(I$34, June!$X$10:$X$28, 0)), "")</f>
        <v>0</v>
      </c>
      <c r="J52" s="55">
        <f ca="1">IF($D52=June!$X$31, INDEX(June!$Y$10:$Y$28, MATCH(J$34, June!$X$10:$X$28, 0)), "")</f>
        <v>0</v>
      </c>
      <c r="K52" s="55">
        <f ca="1">IF($D52=June!$X$31, INDEX(June!$Y$10:$Y$28, MATCH(K$34, June!$X$10:$X$28, 0)), "")</f>
        <v>0</v>
      </c>
      <c r="L52" s="55">
        <f ca="1">IF($D52=June!$X$31, INDEX(June!$Y$10:$Y$28, MATCH(L$34, June!$X$10:$X$28, 0)), "")</f>
        <v>0</v>
      </c>
      <c r="M52" s="55">
        <f ca="1">IF($D52=June!$X$31, INDEX(June!$Y$10:$Y$28, MATCH(M$34, June!$X$10:$X$28, 0)), "")</f>
        <v>0</v>
      </c>
      <c r="N52" s="55">
        <f ca="1">IF($D52=June!$X$31, INDEX(June!$Y$10:$Y$28, MATCH(N$34, June!$X$10:$X$28, 0)), "")</f>
        <v>0</v>
      </c>
      <c r="O52" s="55">
        <f ca="1">IF($D52=June!$X$31, INDEX(June!$Y$10:$Y$28, MATCH(O$34, June!$X$10:$X$28, 0)), "")</f>
        <v>0</v>
      </c>
      <c r="P52" s="55">
        <f ca="1">IF($D52=June!$X$31, INDEX(June!$Y$10:$Y$28, MATCH(P$34, June!$X$10:$X$28, 0)), "")</f>
        <v>0</v>
      </c>
      <c r="Q52" s="55">
        <f ca="1">IF($D52=June!$X$31, INDEX(June!$Y$10:$Y$28, MATCH(Q$34, June!$X$10:$X$28, 0)), "")</f>
        <v>0</v>
      </c>
      <c r="R52" s="55">
        <f ca="1">IF($D52=June!$X$31, INDEX(June!$Y$10:$Y$28, MATCH(R$34, June!$X$10:$X$28, 0)), "")</f>
        <v>0</v>
      </c>
      <c r="S52" s="55">
        <f ca="1">IF($D52=June!$X$31, INDEX(June!$Y$10:$Y$28, MATCH(S$34, June!$X$10:$X$28, 0)), "")</f>
        <v>0</v>
      </c>
      <c r="T52" s="55">
        <f ca="1">IF($D52=June!$X$31, INDEX(June!$Y$10:$Y$28, MATCH(T$34, June!$X$10:$X$28, 0)), "")</f>
        <v>0</v>
      </c>
      <c r="U52" s="55">
        <f ca="1">IF($D52=June!$X$31, INDEX(June!$Y$10:$Y$28, MATCH(U$34, June!$X$10:$X$28, 0)), "")</f>
        <v>0</v>
      </c>
      <c r="V52" s="55">
        <f ca="1">IF($D52=June!$X$31, INDEX(June!$Y$10:$Y$28, MATCH(V$34, June!$X$10:$X$28, 0)), "")</f>
        <v>0</v>
      </c>
      <c r="W52" s="55">
        <f ca="1">IF($D52=June!$X$31, INDEX(June!$Y$10:$Y$28, MATCH(W$34, June!$X$10:$X$28, 0)), "")</f>
        <v>0</v>
      </c>
    </row>
    <row r="53" spans="2:29" ht="18.75" x14ac:dyDescent="0.25">
      <c r="B53" s="83">
        <v>2026</v>
      </c>
      <c r="C53" s="107">
        <v>46204</v>
      </c>
      <c r="D53" s="84" t="s">
        <v>53</v>
      </c>
      <c r="E53" s="55">
        <f ca="1">IF($D53=July!$X$31, INDEX(July!$Y$10:$Y$28, MATCH(E$34, July!$X$10:$X$28, 0)), "")</f>
        <v>0</v>
      </c>
      <c r="F53" s="55">
        <f ca="1">IF($D53=July!$X$31, INDEX(July!$Y$10:$Y$28, MATCH(F$34, July!$X$10:$X$28, 0)), "")</f>
        <v>0</v>
      </c>
      <c r="G53" s="55">
        <f ca="1">IF($D53=July!$X$31, INDEX(July!$Y$10:$Y$28, MATCH(G$34, July!$X$10:$X$28, 0)), "")</f>
        <v>0</v>
      </c>
      <c r="H53" s="55">
        <f ca="1">IF($D53=July!$X$31, INDEX(July!$Y$10:$Y$28, MATCH(H$34, July!$X$10:$X$28, 0)), "")</f>
        <v>0</v>
      </c>
      <c r="I53" s="55">
        <f ca="1">IF($D53=July!$X$31, INDEX(July!$Y$10:$Y$28, MATCH(I$34, July!$X$10:$X$28, 0)), "")</f>
        <v>0</v>
      </c>
      <c r="J53" s="55">
        <f ca="1">IF($D53=July!$X$31, INDEX(July!$Y$10:$Y$28, MATCH(J$34, July!$X$10:$X$28, 0)), "")</f>
        <v>0</v>
      </c>
      <c r="K53" s="55">
        <f ca="1">IF($D53=July!$X$31, INDEX(July!$Y$10:$Y$28, MATCH(K$34, July!$X$10:$X$28, 0)), "")</f>
        <v>0</v>
      </c>
      <c r="L53" s="55">
        <f ca="1">IF($D53=July!$X$31, INDEX(July!$Y$10:$Y$28, MATCH(L$34, July!$X$10:$X$28, 0)), "")</f>
        <v>0</v>
      </c>
      <c r="M53" s="55">
        <f ca="1">IF($D53=July!$X$31, INDEX(July!$Y$10:$Y$28, MATCH(M$34, July!$X$10:$X$28, 0)), "")</f>
        <v>0</v>
      </c>
      <c r="N53" s="55">
        <f ca="1">IF($D53=July!$X$31, INDEX(July!$Y$10:$Y$28, MATCH(N$34, July!$X$10:$X$28, 0)), "")</f>
        <v>0</v>
      </c>
      <c r="O53" s="55">
        <f ca="1">IF($D53=July!$X$31, INDEX(July!$Y$10:$Y$28, MATCH(O$34, July!$X$10:$X$28, 0)), "")</f>
        <v>0</v>
      </c>
      <c r="P53" s="55">
        <f ca="1">IF($D53=July!$X$31, INDEX(July!$Y$10:$Y$28, MATCH(P$34, July!$X$10:$X$28, 0)), "")</f>
        <v>0</v>
      </c>
      <c r="Q53" s="55">
        <f ca="1">IF($D53=July!$X$31, INDEX(July!$Y$10:$Y$28, MATCH(Q$34, July!$X$10:$X$28, 0)), "")</f>
        <v>0</v>
      </c>
      <c r="R53" s="55">
        <f ca="1">IF($D53=July!$X$31, INDEX(July!$Y$10:$Y$28, MATCH(R$34, July!$X$10:$X$28, 0)), "")</f>
        <v>0</v>
      </c>
      <c r="S53" s="55">
        <f ca="1">IF($D53=July!$X$31, INDEX(July!$Y$10:$Y$28, MATCH(S$34, July!$X$10:$X$28, 0)), "")</f>
        <v>0</v>
      </c>
      <c r="T53" s="55">
        <f ca="1">IF($D53=July!$X$31, INDEX(July!$Y$10:$Y$28, MATCH(T$34, July!$X$10:$X$28, 0)), "")</f>
        <v>0</v>
      </c>
      <c r="U53" s="55">
        <f ca="1">IF($D53=July!$X$31, INDEX(July!$Y$10:$Y$28, MATCH(U$34, July!$X$10:$X$28, 0)), "")</f>
        <v>0</v>
      </c>
      <c r="V53" s="55">
        <f ca="1">IF($D53=July!$X$31, INDEX(July!$Y$10:$Y$28, MATCH(V$34, July!$X$10:$X$28, 0)), "")</f>
        <v>0</v>
      </c>
      <c r="W53" s="55">
        <f ca="1">IF($D53=July!$X$31, INDEX(July!$Y$10:$Y$28, MATCH(W$34, July!$X$10:$X$28, 0)), "")</f>
        <v>0</v>
      </c>
    </row>
    <row r="54" spans="2:29" ht="18.75" x14ac:dyDescent="0.25">
      <c r="B54" s="83">
        <v>2026</v>
      </c>
      <c r="C54" s="107">
        <v>46235</v>
      </c>
      <c r="D54" s="84" t="s">
        <v>54</v>
      </c>
      <c r="E54" s="55">
        <f ca="1">IF($D54=August!$X$31, INDEX(August!$Y$10:$Y$28, MATCH(E$34, August!$X$10:$X$28, 0)), "")</f>
        <v>0</v>
      </c>
      <c r="F54" s="55">
        <f ca="1">IF($D54=August!$X$31, INDEX(August!$Y$10:$Y$28, MATCH(F$34, August!$X$10:$X$28, 0)), "")</f>
        <v>0</v>
      </c>
      <c r="G54" s="55">
        <f ca="1">IF($D54=August!$X$31, INDEX(August!$Y$10:$Y$28, MATCH(G$34, August!$X$10:$X$28, 0)), "")</f>
        <v>0</v>
      </c>
      <c r="H54" s="55">
        <f ca="1">IF($D54=August!$X$31, INDEX(August!$Y$10:$Y$28, MATCH(H$34, August!$X$10:$X$28, 0)), "")</f>
        <v>0</v>
      </c>
      <c r="I54" s="55">
        <f ca="1">IF($D54=August!$X$31, INDEX(August!$Y$10:$Y$28, MATCH(I$34, August!$X$10:$X$28, 0)), "")</f>
        <v>0</v>
      </c>
      <c r="J54" s="55">
        <f ca="1">IF($D54=August!$X$31, INDEX(August!$Y$10:$Y$28, MATCH(J$34, August!$X$10:$X$28, 0)), "")</f>
        <v>0</v>
      </c>
      <c r="K54" s="55">
        <f ca="1">IF($D54=August!$X$31, INDEX(August!$Y$10:$Y$28, MATCH(K$34, August!$X$10:$X$28, 0)), "")</f>
        <v>0</v>
      </c>
      <c r="L54" s="55">
        <f ca="1">IF($D54=August!$X$31, INDEX(August!$Y$10:$Y$28, MATCH(L$34, August!$X$10:$X$28, 0)), "")</f>
        <v>0</v>
      </c>
      <c r="M54" s="55">
        <f ca="1">IF($D54=August!$X$31, INDEX(August!$Y$10:$Y$28, MATCH(M$34, August!$X$10:$X$28, 0)), "")</f>
        <v>0</v>
      </c>
      <c r="N54" s="55">
        <f ca="1">IF($D54=August!$X$31, INDEX(August!$Y$10:$Y$28, MATCH(N$34, August!$X$10:$X$28, 0)), "")</f>
        <v>0</v>
      </c>
      <c r="O54" s="55">
        <f ca="1">IF($D54=August!$X$31, INDEX(August!$Y$10:$Y$28, MATCH(O$34, August!$X$10:$X$28, 0)), "")</f>
        <v>0</v>
      </c>
      <c r="P54" s="55">
        <f ca="1">IF($D54=August!$X$31, INDEX(August!$Y$10:$Y$28, MATCH(P$34, August!$X$10:$X$28, 0)), "")</f>
        <v>0</v>
      </c>
      <c r="Q54" s="55">
        <f ca="1">IF($D54=August!$X$31, INDEX(August!$Y$10:$Y$28, MATCH(Q$34, August!$X$10:$X$28, 0)), "")</f>
        <v>0</v>
      </c>
      <c r="R54" s="55">
        <f ca="1">IF($D54=August!$X$31, INDEX(August!$Y$10:$Y$28, MATCH(R$34, August!$X$10:$X$28, 0)), "")</f>
        <v>0</v>
      </c>
      <c r="S54" s="55">
        <f ca="1">IF($D54=August!$X$31, INDEX(August!$Y$10:$Y$28, MATCH(S$34, August!$X$10:$X$28, 0)), "")</f>
        <v>0</v>
      </c>
      <c r="T54" s="55">
        <f ca="1">IF($D54=August!$X$31, INDEX(August!$Y$10:$Y$28, MATCH(T$34, August!$X$10:$X$28, 0)), "")</f>
        <v>0</v>
      </c>
      <c r="U54" s="55">
        <f ca="1">IF($D54=August!$X$31, INDEX(August!$Y$10:$Y$28, MATCH(U$34, August!$X$10:$X$28, 0)), "")</f>
        <v>0</v>
      </c>
      <c r="V54" s="55">
        <f ca="1">IF($D54=August!$X$31, INDEX(August!$Y$10:$Y$28, MATCH(V$34, August!$X$10:$X$28, 0)), "")</f>
        <v>0</v>
      </c>
      <c r="W54" s="55">
        <f ca="1">IF($D54=August!$X$31, INDEX(August!$Y$10:$Y$28, MATCH(W$34, August!$X$10:$X$28, 0)), "")</f>
        <v>0</v>
      </c>
    </row>
    <row r="55" spans="2:29" ht="18.75" x14ac:dyDescent="0.25">
      <c r="B55" s="83">
        <v>2026</v>
      </c>
      <c r="C55" s="107">
        <v>46266</v>
      </c>
      <c r="D55" s="84" t="s">
        <v>55</v>
      </c>
      <c r="E55" s="55">
        <f ca="1">IF($D55=September!$X$31, INDEX(September!$Y$10:$Y$28, MATCH(E$34, September!$X$10:$X$28, 0)), "")</f>
        <v>0</v>
      </c>
      <c r="F55" s="55">
        <f ca="1">IF($D55=September!$X$31, INDEX(September!$Y$10:$Y$28, MATCH(F$34, September!$X$10:$X$28, 0)), "")</f>
        <v>0</v>
      </c>
      <c r="G55" s="55">
        <f ca="1">IF($D55=September!$X$31, INDEX(September!$Y$10:$Y$28, MATCH(G$34, September!$X$10:$X$28, 0)), "")</f>
        <v>0</v>
      </c>
      <c r="H55" s="55">
        <f ca="1">IF($D55=September!$X$31, INDEX(September!$Y$10:$Y$28, MATCH(H$34, September!$X$10:$X$28, 0)), "")</f>
        <v>0</v>
      </c>
      <c r="I55" s="55">
        <f ca="1">IF($D55=September!$X$31, INDEX(September!$Y$10:$Y$28, MATCH(I$34, September!$X$10:$X$28, 0)), "")</f>
        <v>0</v>
      </c>
      <c r="J55" s="55">
        <f ca="1">IF($D55=September!$X$31, INDEX(September!$Y$10:$Y$28, MATCH(J$34, September!$X$10:$X$28, 0)), "")</f>
        <v>0</v>
      </c>
      <c r="K55" s="55">
        <f ca="1">IF($D55=September!$X$31, INDEX(September!$Y$10:$Y$28, MATCH(K$34, September!$X$10:$X$28, 0)), "")</f>
        <v>0</v>
      </c>
      <c r="L55" s="55">
        <f ca="1">IF($D55=September!$X$31, INDEX(September!$Y$10:$Y$28, MATCH(L$34, September!$X$10:$X$28, 0)), "")</f>
        <v>0</v>
      </c>
      <c r="M55" s="55">
        <f ca="1">IF($D55=September!$X$31, INDEX(September!$Y$10:$Y$28, MATCH(M$34, September!$X$10:$X$28, 0)), "")</f>
        <v>0</v>
      </c>
      <c r="N55" s="55">
        <f ca="1">IF($D55=September!$X$31, INDEX(September!$Y$10:$Y$28, MATCH(N$34, September!$X$10:$X$28, 0)), "")</f>
        <v>0</v>
      </c>
      <c r="O55" s="55">
        <f ca="1">IF($D55=September!$X$31, INDEX(September!$Y$10:$Y$28, MATCH(O$34, September!$X$10:$X$28, 0)), "")</f>
        <v>0</v>
      </c>
      <c r="P55" s="55">
        <f ca="1">IF($D55=September!$X$31, INDEX(September!$Y$10:$Y$28, MATCH(P$34, September!$X$10:$X$28, 0)), "")</f>
        <v>0</v>
      </c>
      <c r="Q55" s="55">
        <f ca="1">IF($D55=September!$X$31, INDEX(September!$Y$10:$Y$28, MATCH(Q$34, September!$X$10:$X$28, 0)), "")</f>
        <v>0</v>
      </c>
      <c r="R55" s="55">
        <f ca="1">IF($D55=September!$X$31, INDEX(September!$Y$10:$Y$28, MATCH(R$34, September!$X$10:$X$28, 0)), "")</f>
        <v>0</v>
      </c>
      <c r="S55" s="55">
        <f ca="1">IF($D55=September!$X$31, INDEX(September!$Y$10:$Y$28, MATCH(S$34, September!$X$10:$X$28, 0)), "")</f>
        <v>0</v>
      </c>
      <c r="T55" s="55">
        <f ca="1">IF($D55=September!$X$31, INDEX(September!$Y$10:$Y$28, MATCH(T$34, September!$X$10:$X$28, 0)), "")</f>
        <v>0</v>
      </c>
      <c r="U55" s="55">
        <f ca="1">IF($D55=September!$X$31, INDEX(September!$Y$10:$Y$28, MATCH(U$34, September!$X$10:$X$28, 0)), "")</f>
        <v>0</v>
      </c>
      <c r="V55" s="55">
        <f ca="1">IF($D55=September!$X$31, INDEX(September!$Y$10:$Y$28, MATCH(V$34, September!$X$10:$X$28, 0)), "")</f>
        <v>0</v>
      </c>
      <c r="W55" s="55">
        <f ca="1">IF($D55=September!$X$31, INDEX(September!$Y$10:$Y$28, MATCH(W$34, September!$X$10:$X$28, 0)), "")</f>
        <v>0</v>
      </c>
    </row>
    <row r="56" spans="2:29" ht="18.75" x14ac:dyDescent="0.25">
      <c r="B56" s="83">
        <v>2026</v>
      </c>
      <c r="C56" s="107">
        <v>46296</v>
      </c>
      <c r="D56" s="84" t="s">
        <v>56</v>
      </c>
      <c r="E56" s="55">
        <f ca="1">IF($D56=October!$X$31, INDEX(October!$Y$10:$Y$28, MATCH(E$34, October!$X$10:$X$28, 0)), "")</f>
        <v>0</v>
      </c>
      <c r="F56" s="55">
        <f ca="1">IF($D56=October!$X$31, INDEX(October!$Y$10:$Y$28, MATCH(F$34, October!$X$10:$X$28, 0)), "")</f>
        <v>0</v>
      </c>
      <c r="G56" s="55">
        <f ca="1">IF($D56=October!$X$31, INDEX(October!$Y$10:$Y$28, MATCH(G$34, October!$X$10:$X$28, 0)), "")</f>
        <v>0</v>
      </c>
      <c r="H56" s="55">
        <f ca="1">IF($D56=October!$X$31, INDEX(October!$Y$10:$Y$28, MATCH(H$34, October!$X$10:$X$28, 0)), "")</f>
        <v>0</v>
      </c>
      <c r="I56" s="55">
        <f ca="1">IF($D56=October!$X$31, INDEX(October!$Y$10:$Y$28, MATCH(I$34, October!$X$10:$X$28, 0)), "")</f>
        <v>0</v>
      </c>
      <c r="J56" s="55">
        <f ca="1">IF($D56=October!$X$31, INDEX(October!$Y$10:$Y$28, MATCH(J$34, October!$X$10:$X$28, 0)), "")</f>
        <v>0</v>
      </c>
      <c r="K56" s="55">
        <f ca="1">IF($D56=October!$X$31, INDEX(October!$Y$10:$Y$28, MATCH(K$34, October!$X$10:$X$28, 0)), "")</f>
        <v>0</v>
      </c>
      <c r="L56" s="55">
        <f ca="1">IF($D56=October!$X$31, INDEX(October!$Y$10:$Y$28, MATCH(L$34, October!$X$10:$X$28, 0)), "")</f>
        <v>0</v>
      </c>
      <c r="M56" s="55">
        <f ca="1">IF($D56=October!$X$31, INDEX(October!$Y$10:$Y$28, MATCH(M$34, October!$X$10:$X$28, 0)), "")</f>
        <v>0</v>
      </c>
      <c r="N56" s="55">
        <f ca="1">IF($D56=October!$X$31, INDEX(October!$Y$10:$Y$28, MATCH(N$34, October!$X$10:$X$28, 0)), "")</f>
        <v>0</v>
      </c>
      <c r="O56" s="55">
        <f ca="1">IF($D56=October!$X$31, INDEX(October!$Y$10:$Y$28, MATCH(O$34, October!$X$10:$X$28, 0)), "")</f>
        <v>0</v>
      </c>
      <c r="P56" s="55">
        <f ca="1">IF($D56=October!$X$31, INDEX(October!$Y$10:$Y$28, MATCH(P$34, October!$X$10:$X$28, 0)), "")</f>
        <v>0</v>
      </c>
      <c r="Q56" s="55">
        <f ca="1">IF($D56=October!$X$31, INDEX(October!$Y$10:$Y$28, MATCH(Q$34, October!$X$10:$X$28, 0)), "")</f>
        <v>0</v>
      </c>
      <c r="R56" s="55">
        <f ca="1">IF($D56=October!$X$31, INDEX(October!$Y$10:$Y$28, MATCH(R$34, October!$X$10:$X$28, 0)), "")</f>
        <v>0</v>
      </c>
      <c r="S56" s="55">
        <f ca="1">IF($D56=October!$X$31, INDEX(October!$Y$10:$Y$28, MATCH(S$34, October!$X$10:$X$28, 0)), "")</f>
        <v>0</v>
      </c>
      <c r="T56" s="55">
        <f ca="1">IF($D56=October!$X$31, INDEX(October!$Y$10:$Y$28, MATCH(T$34, October!$X$10:$X$28, 0)), "")</f>
        <v>0</v>
      </c>
      <c r="U56" s="55">
        <f ca="1">IF($D56=October!$X$31, INDEX(October!$Y$10:$Y$28, MATCH(U$34, October!$X$10:$X$28, 0)), "")</f>
        <v>0</v>
      </c>
      <c r="V56" s="55">
        <f ca="1">IF($D56=October!$X$31, INDEX(October!$Y$10:$Y$28, MATCH(V$34, October!$X$10:$X$28, 0)), "")</f>
        <v>0</v>
      </c>
      <c r="W56" s="55">
        <f ca="1">IF($D56=October!$X$31, INDEX(October!$Y$10:$Y$28, MATCH(W$34, October!$X$10:$X$28, 0)), "")</f>
        <v>0</v>
      </c>
    </row>
    <row r="57" spans="2:29" ht="18.75" x14ac:dyDescent="0.25">
      <c r="B57" s="83">
        <v>2026</v>
      </c>
      <c r="C57" s="107">
        <v>46327</v>
      </c>
      <c r="D57" s="84" t="s">
        <v>57</v>
      </c>
      <c r="E57" s="55">
        <f ca="1">IF($D57=November!$X$31, INDEX(November!$Y$10:$Y$28, MATCH(E$34, November!$X$10:$X$28, 0)), "")</f>
        <v>0</v>
      </c>
      <c r="F57" s="55">
        <f ca="1">IF($D57=November!$X$31, INDEX(November!$Y$10:$Y$28, MATCH(F$34, November!$X$10:$X$28, 0)), "")</f>
        <v>0</v>
      </c>
      <c r="G57" s="55">
        <f ca="1">IF($D57=November!$X$31, INDEX(November!$Y$10:$Y$28, MATCH(G$34, November!$X$10:$X$28, 0)), "")</f>
        <v>0</v>
      </c>
      <c r="H57" s="55">
        <f ca="1">IF($D57=November!$X$31, INDEX(November!$Y$10:$Y$28, MATCH(H$34, November!$X$10:$X$28, 0)), "")</f>
        <v>0</v>
      </c>
      <c r="I57" s="55">
        <f ca="1">IF($D57=November!$X$31, INDEX(November!$Y$10:$Y$28, MATCH(I$34, November!$X$10:$X$28, 0)), "")</f>
        <v>0</v>
      </c>
      <c r="J57" s="55">
        <f ca="1">IF($D57=November!$X$31, INDEX(November!$Y$10:$Y$28, MATCH(J$34, November!$X$10:$X$28, 0)), "")</f>
        <v>0</v>
      </c>
      <c r="K57" s="55">
        <f ca="1">IF($D57=November!$X$31, INDEX(November!$Y$10:$Y$28, MATCH(K$34, November!$X$10:$X$28, 0)), "")</f>
        <v>0</v>
      </c>
      <c r="L57" s="55">
        <f ca="1">IF($D57=November!$X$31, INDEX(November!$Y$10:$Y$28, MATCH(L$34, November!$X$10:$X$28, 0)), "")</f>
        <v>0</v>
      </c>
      <c r="M57" s="55">
        <f ca="1">IF($D57=November!$X$31, INDEX(November!$Y$10:$Y$28, MATCH(M$34, November!$X$10:$X$28, 0)), "")</f>
        <v>0</v>
      </c>
      <c r="N57" s="55">
        <f ca="1">IF($D57=November!$X$31, INDEX(November!$Y$10:$Y$28, MATCH(N$34, November!$X$10:$X$28, 0)), "")</f>
        <v>0</v>
      </c>
      <c r="O57" s="55">
        <f ca="1">IF($D57=November!$X$31, INDEX(November!$Y$10:$Y$28, MATCH(O$34, November!$X$10:$X$28, 0)), "")</f>
        <v>0</v>
      </c>
      <c r="P57" s="55">
        <f ca="1">IF($D57=November!$X$31, INDEX(November!$Y$10:$Y$28, MATCH(P$34, November!$X$10:$X$28, 0)), "")</f>
        <v>0</v>
      </c>
      <c r="Q57" s="55">
        <f ca="1">IF($D57=November!$X$31, INDEX(November!$Y$10:$Y$28, MATCH(Q$34, November!$X$10:$X$28, 0)), "")</f>
        <v>0</v>
      </c>
      <c r="R57" s="55">
        <f ca="1">IF($D57=November!$X$31, INDEX(November!$Y$10:$Y$28, MATCH(R$34, November!$X$10:$X$28, 0)), "")</f>
        <v>0</v>
      </c>
      <c r="S57" s="55">
        <f ca="1">IF($D57=November!$X$31, INDEX(November!$Y$10:$Y$28, MATCH(S$34, November!$X$10:$X$28, 0)), "")</f>
        <v>0</v>
      </c>
      <c r="T57" s="55">
        <f ca="1">IF($D57=November!$X$31, INDEX(November!$Y$10:$Y$28, MATCH(T$34, November!$X$10:$X$28, 0)), "")</f>
        <v>0</v>
      </c>
      <c r="U57" s="55">
        <f ca="1">IF($D57=November!$X$31, INDEX(November!$Y$10:$Y$28, MATCH(U$34, November!$X$10:$X$28, 0)), "")</f>
        <v>0</v>
      </c>
      <c r="V57" s="55">
        <f ca="1">IF($D57=November!$X$31, INDEX(November!$Y$10:$Y$28, MATCH(V$34, November!$X$10:$X$28, 0)), "")</f>
        <v>0</v>
      </c>
      <c r="W57" s="55">
        <f ca="1">IF($D57=November!$X$31, INDEX(November!$Y$10:$Y$28, MATCH(W$34, November!$X$10:$X$28, 0)), "")</f>
        <v>0</v>
      </c>
    </row>
    <row r="58" spans="2:29" ht="18.75" x14ac:dyDescent="0.25">
      <c r="B58" s="83">
        <v>2026</v>
      </c>
      <c r="C58" s="107">
        <v>46357</v>
      </c>
      <c r="D58" s="84" t="s">
        <v>58</v>
      </c>
      <c r="E58" s="55">
        <f ca="1">IF($D58=December!$X$31, INDEX(December!$Y$10:$Y$28, MATCH(E$34, December!$X$10:$X$28, 0)), "")</f>
        <v>0</v>
      </c>
      <c r="F58" s="55">
        <f ca="1">IF($D58=December!$X$31, INDEX(December!$Y$10:$Y$28, MATCH(F$34, December!$X$10:$X$28, 0)), "")</f>
        <v>0</v>
      </c>
      <c r="G58" s="55">
        <f ca="1">IF($D58=December!$X$31, INDEX(December!$Y$10:$Y$28, MATCH(G$34, December!$X$10:$X$28, 0)), "")</f>
        <v>0</v>
      </c>
      <c r="H58" s="55">
        <f ca="1">IF($D58=December!$X$31, INDEX(December!$Y$10:$Y$28, MATCH(H$34, December!$X$10:$X$28, 0)), "")</f>
        <v>0</v>
      </c>
      <c r="I58" s="55">
        <f ca="1">IF($D58=December!$X$31, INDEX(December!$Y$10:$Y$28, MATCH(I$34, December!$X$10:$X$28, 0)), "")</f>
        <v>0</v>
      </c>
      <c r="J58" s="55">
        <f ca="1">IF($D58=December!$X$31, INDEX(December!$Y$10:$Y$28, MATCH(J$34, December!$X$10:$X$28, 0)), "")</f>
        <v>0</v>
      </c>
      <c r="K58" s="55">
        <f ca="1">IF($D58=December!$X$31, INDEX(December!$Y$10:$Y$28, MATCH(K$34, December!$X$10:$X$28, 0)), "")</f>
        <v>0</v>
      </c>
      <c r="L58" s="55">
        <f ca="1">IF($D58=December!$X$31, INDEX(December!$Y$10:$Y$28, MATCH(L$34, December!$X$10:$X$28, 0)), "")</f>
        <v>0</v>
      </c>
      <c r="M58" s="55">
        <f ca="1">IF($D58=December!$X$31, INDEX(December!$Y$10:$Y$28, MATCH(M$34, December!$X$10:$X$28, 0)), "")</f>
        <v>0</v>
      </c>
      <c r="N58" s="55">
        <f ca="1">IF($D58=December!$X$31, INDEX(December!$Y$10:$Y$28, MATCH(N$34, December!$X$10:$X$28, 0)), "")</f>
        <v>0</v>
      </c>
      <c r="O58" s="55">
        <f ca="1">IF($D58=December!$X$31, INDEX(December!$Y$10:$Y$28, MATCH(O$34, December!$X$10:$X$28, 0)), "")</f>
        <v>0</v>
      </c>
      <c r="P58" s="55">
        <f ca="1">IF($D58=December!$X$31, INDEX(December!$Y$10:$Y$28, MATCH(P$34, December!$X$10:$X$28, 0)), "")</f>
        <v>0</v>
      </c>
      <c r="Q58" s="55">
        <f ca="1">IF($D58=December!$X$31, INDEX(December!$Y$10:$Y$28, MATCH(Q$34, December!$X$10:$X$28, 0)), "")</f>
        <v>0</v>
      </c>
      <c r="R58" s="55">
        <f ca="1">IF($D58=December!$X$31, INDEX(December!$Y$10:$Y$28, MATCH(R$34, December!$X$10:$X$28, 0)), "")</f>
        <v>0</v>
      </c>
      <c r="S58" s="55">
        <f ca="1">IF($D58=December!$X$31, INDEX(December!$Y$10:$Y$28, MATCH(S$34, December!$X$10:$X$28, 0)), "")</f>
        <v>0</v>
      </c>
      <c r="T58" s="55">
        <f ca="1">IF($D58=December!$X$31, INDEX(December!$Y$10:$Y$28, MATCH(T$34, December!$X$10:$X$28, 0)), "")</f>
        <v>0</v>
      </c>
      <c r="U58" s="55">
        <f ca="1">IF($D58=December!$X$31, INDEX(December!$Y$10:$Y$28, MATCH(U$34, December!$X$10:$X$28, 0)), "")</f>
        <v>0</v>
      </c>
      <c r="V58" s="55">
        <f ca="1">IF($D58=December!$X$31, INDEX(December!$Y$10:$Y$28, MATCH(V$34, December!$X$10:$X$28, 0)), "")</f>
        <v>0</v>
      </c>
      <c r="W58" s="55">
        <f ca="1">IF($D58=December!$X$31, INDEX(December!$Y$10:$Y$28, MATCH(W$34, December!$X$10:$X$28, 0)), "")</f>
        <v>0</v>
      </c>
    </row>
  </sheetData>
  <sheetProtection sheet="1" objects="1" scenarios="1" sort="0" autoFilter="0" pivotTables="0"/>
  <mergeCells count="6">
    <mergeCell ref="Q4:S4"/>
    <mergeCell ref="B2:C2"/>
    <mergeCell ref="B5:C5"/>
    <mergeCell ref="B8:C8"/>
    <mergeCell ref="I5:J5"/>
    <mergeCell ref="L5:M5"/>
  </mergeCells>
  <phoneticPr fontId="13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4D8F76EE-CC76-4BE5-84CF-FCAF500DB21B}">
            <xm:f>Personalização!$D$8="Escuro"</xm:f>
            <x14:dxf>
              <font>
                <color theme="0"/>
              </font>
              <fill>
                <patternFill>
                  <bgColor rgb="FF404040"/>
                </patternFill>
              </fill>
              <border>
                <left/>
                <right/>
                <top/>
                <bottom/>
              </border>
            </x14:dxf>
          </x14:cfRule>
          <xm:sqref>A1:XFD1 A3:XFD4 A2:B2 D2:XFD2 A6:XFD7 A5:B5 D5:XFD5 A8:A9 D8:XFD9 B9:C9 B8 A10:XFD1048576 I7:J18</xm:sqref>
        </x14:conditionalFormatting>
        <x14:conditionalFormatting xmlns:xm="http://schemas.microsoft.com/office/excel/2006/main">
          <x14:cfRule type="expression" priority="12" id="{9C24F2CD-AE97-44B8-BF11-B760E0F0CC09}">
            <xm:f>Personalização!$D$8="Escuro"</xm:f>
            <x14:dxf>
              <font>
                <color theme="2" tint="-9.9948118533890809E-2"/>
              </font>
              <fill>
                <patternFill>
                  <bgColor rgb="FF626262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B33:W58</xm:sqref>
        </x14:conditionalFormatting>
        <x14:conditionalFormatting xmlns:xm="http://schemas.microsoft.com/office/excel/2006/main">
          <x14:cfRule type="expression" priority="10" id="{1B19F563-DB01-43A6-8BDB-441A0B24AA6A}">
            <xm:f>Personalização!$D$8="Escuro"</xm:f>
            <x14:dxf>
              <fill>
                <patternFill>
                  <bgColor rgb="FF626262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F6:G21 I23 B6:C6 B3:C3 B12:D30 O5:O25 Q5:Q25 S5:S25 L6:M19 I6:J19</xm:sqref>
        </x14:conditionalFormatting>
        <x14:conditionalFormatting xmlns:xm="http://schemas.microsoft.com/office/excel/2006/main">
          <x14:cfRule type="expression" priority="3" id="{20E21ADF-9455-43CA-B557-A1F90AACB59F}">
            <xm:f>Personalização!$D$8="Escuro"</xm:f>
            <x14:dxf>
              <fill>
                <patternFill>
                  <bgColor rgb="FF6495ED"/>
                </patternFill>
              </fill>
              <border>
                <left style="thin">
                  <color theme="1"/>
                </left>
                <right style="thin">
                  <color theme="1"/>
                </right>
                <top style="thin">
                  <color theme="1"/>
                </top>
                <bottom style="thin">
                  <color theme="1"/>
                </bottom>
                <vertical/>
                <horizontal/>
              </border>
            </x14:dxf>
          </x14:cfRule>
          <xm:sqref>I5:J5 L5:M5 B2 B5 F5:G5 I22 B11:D11 B33:W34 O4 Q4</xm:sqref>
        </x14:conditionalFormatting>
        <x14:conditionalFormatting xmlns:xm="http://schemas.microsoft.com/office/excel/2006/main">
          <x14:cfRule type="expression" priority="8" id="{0E9F72CE-831C-473D-B608-7F0E8D857D3D}">
            <xm:f>Personalização!$D$8="Escuro"</xm:f>
            <x14:dxf>
              <fill>
                <patternFill>
                  <bgColor theme="1" tint="0.24994659260841701"/>
                </patternFill>
              </fill>
            </x14:dxf>
          </x14:cfRule>
          <xm:sqref>I6:J6 L6:M6</xm:sqref>
        </x14:conditionalFormatting>
        <x14:conditionalFormatting xmlns:xm="http://schemas.microsoft.com/office/excel/2006/main">
          <x14:cfRule type="expression" priority="9" id="{F77E1A21-D140-4DFB-B273-75522CAE725F}">
            <xm:f>Personalização!$D$8="Escuro"</xm:f>
            <x14:dxf>
              <font>
                <color theme="0"/>
              </font>
              <fill>
                <patternFill>
                  <bgColor rgb="FF404040"/>
                </patternFill>
              </fill>
            </x14:dxf>
          </x14:cfRule>
          <xm:sqref>R5:R25</xm:sqref>
        </x14:conditionalFormatting>
        <x14:conditionalFormatting xmlns:xm="http://schemas.microsoft.com/office/excel/2006/main">
          <x14:cfRule type="expression" priority="4" id="{89080CD2-2D7D-4883-8F0F-6CC8E967C369}">
            <xm:f>Personalização!$D$8="Escuro"</xm:f>
            <x14:dxf>
              <fill>
                <patternFill>
                  <bgColor rgb="FF626262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R5:R25</xm:sqref>
        </x14:conditionalFormatting>
        <x14:conditionalFormatting xmlns:xm="http://schemas.microsoft.com/office/excel/2006/main">
          <x14:cfRule type="expression" priority="2" id="{130F0936-B153-4AD0-8C08-5DB0CBB65073}">
            <xm:f>Personalização!$D$8="Escuro"</xm:f>
            <x14:dxf>
              <fill>
                <patternFill>
                  <bgColor rgb="FF626262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B9:C9</xm:sqref>
        </x14:conditionalFormatting>
        <x14:conditionalFormatting xmlns:xm="http://schemas.microsoft.com/office/excel/2006/main">
          <x14:cfRule type="expression" priority="1" id="{DB6F9CBA-7AFF-49B0-ADDE-19AC98C70A63}">
            <xm:f>Personalização!$D$8="Escuro"</xm:f>
            <x14:dxf>
              <fill>
                <patternFill>
                  <bgColor rgb="FF6495ED"/>
                </patternFill>
              </fill>
              <border>
                <left style="thin">
                  <color theme="1"/>
                </left>
                <right style="thin">
                  <color theme="1"/>
                </right>
                <top style="thin">
                  <color theme="1"/>
                </top>
                <bottom style="thin">
                  <color theme="1"/>
                </bottom>
                <vertical/>
                <horizontal/>
              </border>
            </x14:dxf>
          </x14:cfRule>
          <xm:sqref>B8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879B3-38CB-4D7E-ACBC-BEE5323CA5E8}">
  <sheetPr codeName="Planilha3"/>
  <dimension ref="C4:L33"/>
  <sheetViews>
    <sheetView showGridLines="0" topLeftCell="A7" zoomScale="90" zoomScaleNormal="90" workbookViewId="0">
      <selection activeCell="H11" sqref="H11"/>
    </sheetView>
  </sheetViews>
  <sheetFormatPr defaultColWidth="9.140625" defaultRowHeight="15" x14ac:dyDescent="0.25"/>
  <cols>
    <col min="1" max="9" width="9.140625" style="10"/>
    <col min="10" max="10" width="40" style="10" customWidth="1"/>
    <col min="11" max="16384" width="9.140625" style="10"/>
  </cols>
  <sheetData>
    <row r="4" spans="3:12" ht="49.5" customHeight="1" x14ac:dyDescent="0.25">
      <c r="C4" s="25"/>
      <c r="D4" s="25"/>
      <c r="E4" s="25"/>
      <c r="F4" s="25"/>
      <c r="G4" s="25"/>
      <c r="H4" s="25"/>
      <c r="I4" s="25"/>
      <c r="J4" s="25"/>
      <c r="K4" s="25"/>
      <c r="L4" s="25"/>
    </row>
    <row r="5" spans="3:12" ht="15.75" x14ac:dyDescent="0.25">
      <c r="C5" s="25"/>
      <c r="D5" s="34"/>
      <c r="E5" s="34"/>
      <c r="F5" s="34"/>
      <c r="G5" s="34"/>
      <c r="H5" s="34"/>
      <c r="I5" s="34"/>
      <c r="J5" s="34"/>
      <c r="K5" s="25"/>
      <c r="L5" s="25"/>
    </row>
    <row r="6" spans="3:12" x14ac:dyDescent="0.25">
      <c r="C6" s="25"/>
      <c r="D6" s="25"/>
      <c r="E6" s="25"/>
      <c r="F6" s="25"/>
      <c r="G6" s="25"/>
      <c r="H6" s="25"/>
      <c r="I6" s="25"/>
      <c r="J6" s="25"/>
      <c r="K6" s="25"/>
      <c r="L6" s="25"/>
    </row>
    <row r="7" spans="3:12" ht="24.75" customHeight="1" thickBot="1" x14ac:dyDescent="0.3">
      <c r="C7" s="25"/>
      <c r="D7" s="115" t="s">
        <v>81</v>
      </c>
      <c r="E7" s="115"/>
      <c r="F7" s="115"/>
      <c r="G7" s="25"/>
      <c r="H7" s="25"/>
      <c r="I7" s="25"/>
      <c r="J7" s="26" t="s">
        <v>82</v>
      </c>
      <c r="K7" s="26"/>
      <c r="L7" s="26"/>
    </row>
    <row r="8" spans="3:12" ht="24.75" customHeight="1" thickBot="1" x14ac:dyDescent="0.3">
      <c r="C8" s="25"/>
      <c r="D8" s="116" t="s">
        <v>120</v>
      </c>
      <c r="E8" s="117"/>
      <c r="F8" s="118"/>
      <c r="G8" s="25"/>
      <c r="H8" s="25"/>
      <c r="I8" s="25"/>
      <c r="J8" s="27" t="s">
        <v>96</v>
      </c>
      <c r="K8" s="25"/>
      <c r="L8" s="25"/>
    </row>
    <row r="9" spans="3:12" ht="24.75" customHeight="1" thickBot="1" x14ac:dyDescent="0.3">
      <c r="C9" s="25"/>
      <c r="D9" s="115" t="s">
        <v>83</v>
      </c>
      <c r="E9" s="115"/>
      <c r="F9" s="115"/>
      <c r="G9" s="25"/>
      <c r="H9" s="25"/>
      <c r="I9" s="25"/>
      <c r="J9" s="28" t="s">
        <v>10</v>
      </c>
      <c r="K9" s="25"/>
      <c r="L9" s="25"/>
    </row>
    <row r="10" spans="3:12" ht="24.75" customHeight="1" thickBot="1" x14ac:dyDescent="0.3">
      <c r="C10" s="25"/>
      <c r="D10" s="116" t="s">
        <v>42</v>
      </c>
      <c r="E10" s="117"/>
      <c r="F10" s="118"/>
      <c r="G10" s="25"/>
      <c r="H10" s="25"/>
      <c r="I10" s="25"/>
      <c r="J10" s="28" t="s">
        <v>13</v>
      </c>
      <c r="K10" s="25"/>
      <c r="L10" s="25"/>
    </row>
    <row r="11" spans="3:12" ht="24.75" customHeight="1" thickBot="1" x14ac:dyDescent="0.3">
      <c r="C11" s="25"/>
      <c r="D11" s="115" t="s">
        <v>85</v>
      </c>
      <c r="E11" s="115"/>
      <c r="F11" s="115"/>
      <c r="G11" s="25"/>
      <c r="H11" s="25"/>
      <c r="I11" s="25"/>
      <c r="J11" s="28" t="s">
        <v>16</v>
      </c>
      <c r="K11" s="25"/>
      <c r="L11" s="25"/>
    </row>
    <row r="12" spans="3:12" ht="24.75" customHeight="1" thickBot="1" x14ac:dyDescent="0.3">
      <c r="C12" s="25"/>
      <c r="D12" s="116" t="s">
        <v>84</v>
      </c>
      <c r="E12" s="117"/>
      <c r="F12" s="118"/>
      <c r="G12" s="25"/>
      <c r="H12" s="25"/>
      <c r="I12" s="25"/>
      <c r="J12" s="28" t="s">
        <v>19</v>
      </c>
      <c r="K12" s="25"/>
      <c r="L12" s="25"/>
    </row>
    <row r="13" spans="3:12" ht="24.75" customHeight="1" thickBot="1" x14ac:dyDescent="0.3">
      <c r="C13" s="25"/>
      <c r="D13" s="115" t="s">
        <v>125</v>
      </c>
      <c r="E13" s="115"/>
      <c r="F13" s="115"/>
      <c r="G13" s="25"/>
      <c r="H13" s="25"/>
      <c r="I13" s="25"/>
      <c r="J13" s="28" t="s">
        <v>22</v>
      </c>
      <c r="K13" s="25"/>
      <c r="L13" s="25"/>
    </row>
    <row r="14" spans="3:12" ht="24.75" customHeight="1" thickBot="1" x14ac:dyDescent="0.3">
      <c r="C14" s="25"/>
      <c r="D14" s="116" t="s">
        <v>39</v>
      </c>
      <c r="E14" s="117"/>
      <c r="F14" s="118"/>
      <c r="G14" s="25"/>
      <c r="H14" s="25"/>
      <c r="I14" s="25"/>
      <c r="J14" s="28" t="s">
        <v>25</v>
      </c>
      <c r="K14" s="25"/>
      <c r="L14" s="25"/>
    </row>
    <row r="15" spans="3:12" ht="24.75" customHeight="1" x14ac:dyDescent="0.25">
      <c r="C15" s="25"/>
      <c r="D15" s="25"/>
      <c r="E15" s="25"/>
      <c r="F15" s="25"/>
      <c r="G15" s="25"/>
      <c r="H15" s="25"/>
      <c r="I15" s="25"/>
      <c r="J15" s="28" t="s">
        <v>97</v>
      </c>
      <c r="K15" s="25"/>
      <c r="L15" s="25"/>
    </row>
    <row r="16" spans="3:12" ht="24.75" customHeight="1" x14ac:dyDescent="0.25">
      <c r="C16" s="25"/>
      <c r="D16" s="25"/>
      <c r="E16" s="25"/>
      <c r="F16" s="25"/>
      <c r="G16" s="25"/>
      <c r="H16" s="25"/>
      <c r="I16" s="25"/>
      <c r="J16" s="28" t="s">
        <v>30</v>
      </c>
      <c r="K16" s="25"/>
      <c r="L16" s="25"/>
    </row>
    <row r="17" spans="3:12" ht="24.75" customHeight="1" x14ac:dyDescent="0.25">
      <c r="C17" s="25"/>
      <c r="D17" s="25"/>
      <c r="E17" s="25"/>
      <c r="F17" s="25"/>
      <c r="G17" s="25"/>
      <c r="H17" s="25"/>
      <c r="I17" s="25"/>
      <c r="J17" s="28" t="s">
        <v>36</v>
      </c>
      <c r="K17" s="25"/>
      <c r="L17" s="25"/>
    </row>
    <row r="18" spans="3:12" ht="24.75" customHeight="1" x14ac:dyDescent="0.25">
      <c r="C18" s="25"/>
      <c r="D18" s="25"/>
      <c r="E18" s="25"/>
      <c r="F18" s="25"/>
      <c r="G18" s="25"/>
      <c r="H18" s="25"/>
      <c r="I18" s="25"/>
      <c r="J18" s="28" t="s">
        <v>39</v>
      </c>
      <c r="K18" s="25"/>
      <c r="L18" s="25"/>
    </row>
    <row r="19" spans="3:12" ht="24.75" customHeight="1" x14ac:dyDescent="0.25">
      <c r="C19" s="25"/>
      <c r="D19" s="25"/>
      <c r="E19" s="25"/>
      <c r="F19" s="25"/>
      <c r="G19" s="25"/>
      <c r="H19" s="25"/>
      <c r="I19" s="25"/>
      <c r="J19" s="28" t="s">
        <v>42</v>
      </c>
      <c r="K19" s="25"/>
      <c r="L19" s="25"/>
    </row>
    <row r="20" spans="3:12" ht="24.75" customHeight="1" x14ac:dyDescent="0.25">
      <c r="C20" s="25"/>
      <c r="D20" s="25"/>
      <c r="E20" s="25"/>
      <c r="F20" s="25"/>
      <c r="G20" s="25"/>
      <c r="H20" s="25"/>
      <c r="I20" s="25"/>
      <c r="J20" s="28" t="s">
        <v>45</v>
      </c>
      <c r="K20" s="25"/>
      <c r="L20" s="25"/>
    </row>
    <row r="21" spans="3:12" ht="24.75" customHeight="1" x14ac:dyDescent="0.25">
      <c r="C21" s="25"/>
      <c r="D21" s="25"/>
      <c r="E21" s="25"/>
      <c r="F21" s="25"/>
      <c r="G21" s="25"/>
      <c r="H21" s="25"/>
      <c r="I21" s="25"/>
      <c r="J21" s="28" t="s">
        <v>48</v>
      </c>
      <c r="K21" s="25"/>
      <c r="L21" s="25"/>
    </row>
    <row r="22" spans="3:12" ht="24.75" customHeight="1" x14ac:dyDescent="0.25">
      <c r="C22" s="25"/>
      <c r="D22" s="25"/>
      <c r="E22" s="25"/>
      <c r="F22" s="25"/>
      <c r="G22" s="25"/>
      <c r="H22" s="25"/>
      <c r="I22" s="25"/>
      <c r="J22" s="28" t="s">
        <v>98</v>
      </c>
      <c r="K22" s="25"/>
      <c r="L22" s="25"/>
    </row>
    <row r="23" spans="3:12" ht="24.75" customHeight="1" x14ac:dyDescent="0.25">
      <c r="C23" s="25"/>
      <c r="D23" s="25"/>
      <c r="E23" s="25"/>
      <c r="F23" s="25"/>
      <c r="G23" s="25"/>
      <c r="H23" s="25"/>
      <c r="I23" s="25"/>
      <c r="J23" s="28" t="s">
        <v>99</v>
      </c>
      <c r="K23" s="25"/>
      <c r="L23" s="25"/>
    </row>
    <row r="24" spans="3:12" ht="24.75" customHeight="1" x14ac:dyDescent="0.25">
      <c r="C24" s="25"/>
      <c r="D24" s="25"/>
      <c r="E24" s="25"/>
      <c r="F24" s="25"/>
      <c r="G24" s="25"/>
      <c r="H24" s="25"/>
      <c r="I24" s="25"/>
      <c r="J24" s="28" t="s">
        <v>51</v>
      </c>
      <c r="K24" s="25"/>
      <c r="L24" s="25"/>
    </row>
    <row r="25" spans="3:12" ht="24.75" customHeight="1" x14ac:dyDescent="0.25">
      <c r="C25" s="25"/>
      <c r="D25" s="25"/>
      <c r="E25" s="25"/>
      <c r="F25" s="25"/>
      <c r="G25" s="25"/>
      <c r="H25" s="25"/>
      <c r="I25" s="25"/>
      <c r="J25" s="28"/>
      <c r="K25" s="25"/>
      <c r="L25" s="25"/>
    </row>
    <row r="26" spans="3:12" ht="24.75" hidden="1" customHeight="1" thickBot="1" x14ac:dyDescent="0.3">
      <c r="C26" s="25"/>
      <c r="D26" s="25"/>
      <c r="E26" s="25"/>
      <c r="F26" s="25"/>
      <c r="G26" s="25"/>
      <c r="H26" s="25"/>
      <c r="I26" s="25"/>
      <c r="J26" s="29" t="s">
        <v>33</v>
      </c>
      <c r="K26" s="25"/>
      <c r="L26" s="25"/>
    </row>
    <row r="27" spans="3:12" ht="24.75" hidden="1" customHeight="1" thickBot="1" x14ac:dyDescent="0.3">
      <c r="C27" s="25"/>
      <c r="D27" s="25"/>
      <c r="E27" s="25"/>
      <c r="F27" s="25"/>
      <c r="G27" s="25"/>
      <c r="H27" s="25"/>
      <c r="I27" s="25"/>
      <c r="J27" s="29" t="s">
        <v>84</v>
      </c>
      <c r="K27" s="25"/>
      <c r="L27" s="25"/>
    </row>
    <row r="28" spans="3:12" ht="24.75" hidden="1" customHeight="1" thickBot="1" x14ac:dyDescent="0.3">
      <c r="C28" s="25"/>
      <c r="D28" s="25"/>
      <c r="E28" s="25"/>
      <c r="F28" s="25"/>
      <c r="G28" s="25"/>
      <c r="H28" s="25"/>
      <c r="I28" s="25"/>
      <c r="J28" s="29" t="s">
        <v>91</v>
      </c>
      <c r="K28" s="25"/>
      <c r="L28" s="25"/>
    </row>
    <row r="29" spans="3:12" ht="24.75" hidden="1" customHeight="1" thickBot="1" x14ac:dyDescent="0.3">
      <c r="C29" s="25"/>
      <c r="D29" s="25"/>
      <c r="E29" s="25"/>
      <c r="F29" s="25"/>
      <c r="G29" s="25"/>
      <c r="H29" s="25"/>
      <c r="I29" s="25"/>
      <c r="J29" s="29" t="s">
        <v>127</v>
      </c>
      <c r="K29" s="25"/>
      <c r="L29" s="25"/>
    </row>
    <row r="30" spans="3:12" x14ac:dyDescent="0.25">
      <c r="C30" s="25"/>
      <c r="D30" s="25"/>
      <c r="E30" s="25"/>
      <c r="F30" s="25"/>
      <c r="G30" s="25"/>
      <c r="H30" s="25"/>
      <c r="I30" s="25"/>
      <c r="J30" s="25"/>
      <c r="K30" s="25"/>
      <c r="L30" s="25"/>
    </row>
    <row r="31" spans="3:12" x14ac:dyDescent="0.25">
      <c r="C31" s="25"/>
      <c r="D31" s="25"/>
      <c r="E31" s="25"/>
      <c r="F31" s="25"/>
      <c r="G31" s="25"/>
      <c r="H31" s="25"/>
      <c r="I31" s="25"/>
      <c r="J31" s="25"/>
      <c r="K31" s="25"/>
      <c r="L31" s="25"/>
    </row>
    <row r="32" spans="3:12" x14ac:dyDescent="0.25">
      <c r="C32" s="25"/>
      <c r="D32" s="25"/>
      <c r="E32" s="25"/>
      <c r="F32" s="25"/>
      <c r="G32" s="25"/>
      <c r="H32" s="25"/>
      <c r="I32" s="25"/>
      <c r="J32" s="25"/>
      <c r="K32" s="25"/>
      <c r="L32" s="25"/>
    </row>
    <row r="33" spans="3:12" x14ac:dyDescent="0.25">
      <c r="C33" s="25"/>
      <c r="D33" s="25"/>
      <c r="E33" s="25"/>
      <c r="F33" s="25"/>
      <c r="G33" s="25"/>
      <c r="H33" s="25"/>
      <c r="I33" s="25"/>
      <c r="J33" s="25"/>
      <c r="K33" s="25"/>
      <c r="L33" s="25"/>
    </row>
  </sheetData>
  <sheetProtection formatColumns="0" formatRows="0" autoFilter="0" pivotTables="0"/>
  <protectedRanges>
    <protectedRange sqref="J8:J26" name="Categorias de Despesas"/>
    <protectedRange sqref="D12 D14" name="Bloco 2 Gráfico"/>
    <protectedRange sqref="D10" name="Bloco 1 Gráfico"/>
    <protectedRange sqref="D8" name="Tema da Planilha"/>
  </protectedRanges>
  <mergeCells count="8">
    <mergeCell ref="D13:F13"/>
    <mergeCell ref="D14:F14"/>
    <mergeCell ref="D12:F12"/>
    <mergeCell ref="D7:F7"/>
    <mergeCell ref="D8:F8"/>
    <mergeCell ref="D9:F9"/>
    <mergeCell ref="D10:F10"/>
    <mergeCell ref="D11:F11"/>
  </mergeCells>
  <conditionalFormatting sqref="A1:XFD3 M4:XFD29 A4:B29 A30:XFD1048576">
    <cfRule type="expression" dxfId="889" priority="53">
      <formula>$D$8="Escuro"</formula>
    </cfRule>
  </conditionalFormatting>
  <conditionalFormatting sqref="C4:L33">
    <cfRule type="expression" dxfId="888" priority="8">
      <formula>$D$8="Escuro"</formula>
    </cfRule>
  </conditionalFormatting>
  <conditionalFormatting sqref="D10:F10 D12:F12 J8:J29">
    <cfRule type="expression" dxfId="887" priority="7">
      <formula>$D$8="Escuro"</formula>
    </cfRule>
  </conditionalFormatting>
  <conditionalFormatting sqref="D8:F8">
    <cfRule type="expression" dxfId="886" priority="5">
      <formula>$D$8="Escuro"</formula>
    </cfRule>
  </conditionalFormatting>
  <conditionalFormatting sqref="D8:F8 D10:F10 D12:F12 J8:J29">
    <cfRule type="expression" dxfId="885" priority="6">
      <formula>$D$8="Escuro"</formula>
    </cfRule>
  </conditionalFormatting>
  <conditionalFormatting sqref="J8:J29">
    <cfRule type="expression" dxfId="884" priority="4">
      <formula>AND($D$8="Escuro", COUNTIF($J$8:$J$29, J8) &gt;1)</formula>
    </cfRule>
  </conditionalFormatting>
  <conditionalFormatting sqref="D14:F14">
    <cfRule type="expression" dxfId="883" priority="2">
      <formula>$D$8="Escuro"</formula>
    </cfRule>
  </conditionalFormatting>
  <conditionalFormatting sqref="D14:F14">
    <cfRule type="expression" dxfId="882" priority="1">
      <formula>$D$8="Escuro"</formula>
    </cfRule>
  </conditionalFormatting>
  <dataValidations count="2">
    <dataValidation type="list" allowBlank="1" showInputMessage="1" showErrorMessage="1" sqref="D8:F8" xr:uid="{092A8E0D-46E4-41AF-AE21-36A18B221E0B}">
      <formula1>"Claro,Escuro"</formula1>
    </dataValidation>
    <dataValidation type="list" allowBlank="1" showInputMessage="1" showErrorMessage="1" sqref="D12:F12 D10:F10 D14:F14" xr:uid="{7949DE9A-73B0-4CEB-ABE5-036452246767}">
      <formula1>ListaEditar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28FC7-A0A6-4958-A514-7B48F57C6EB5}">
  <sheetPr codeName="Planilha41"/>
  <dimension ref="B5:Z114"/>
  <sheetViews>
    <sheetView showGridLines="0" zoomScale="90" zoomScaleNormal="90" workbookViewId="0">
      <selection activeCell="AA33" sqref="AA33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18.28515625" style="10" customWidth="1"/>
    <col min="10" max="10" width="14.7109375" style="10" customWidth="1"/>
    <col min="11" max="11" width="4.42578125" style="10" customWidth="1"/>
    <col min="12" max="12" width="6.28515625" style="10" customWidth="1"/>
    <col min="13" max="13" width="15.140625" style="10" bestFit="1" customWidth="1"/>
    <col min="14" max="14" width="15.5703125" style="10" bestFit="1" customWidth="1"/>
    <col min="15" max="15" width="16.140625" style="10" bestFit="1" customWidth="1"/>
    <col min="16" max="16" width="16.140625" style="10" hidden="1" customWidth="1"/>
    <col min="17" max="17" width="2.140625" style="10" customWidth="1"/>
    <col min="18" max="18" width="7.28515625" style="10" customWidth="1"/>
    <col min="19" max="19" width="10" style="10" customWidth="1"/>
    <col min="20" max="25" width="9.140625" style="1"/>
    <col min="26" max="26" width="20.85546875" style="1" hidden="1" customWidth="1"/>
    <col min="27" max="27" width="19.42578125" style="1" customWidth="1"/>
    <col min="28" max="28" width="17.85546875" style="1" customWidth="1"/>
    <col min="29" max="16384" width="9.140625" style="1"/>
  </cols>
  <sheetData>
    <row r="5" spans="2:26" x14ac:dyDescent="0.25"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Z5" s="33" t="s">
        <v>93</v>
      </c>
    </row>
    <row r="6" spans="2:26" x14ac:dyDescent="0.25"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Z6" s="32" t="str">
        <f>IF(Personalização!$D$10="Maior Gasto", "MAIOR GASTO", IF(Personalização!$D$10="Menor Gasto", "MENOR GASTO", "ACOMPANHAMENTO"))</f>
        <v>ACOMPANHAMENTO</v>
      </c>
    </row>
    <row r="7" spans="2:26" x14ac:dyDescent="0.25"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2:26" x14ac:dyDescent="0.25"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Z8" s="33" t="s">
        <v>92</v>
      </c>
    </row>
    <row r="9" spans="2:26" x14ac:dyDescent="0.25"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Z9" s="32" t="str">
        <f>IF(Personalização!$D$12="Maior Gasto", "MAIOR GASTO", IF(Personalização!$D$12="Menor Gasto", "MENOR GASTO", "ACOMPANHAMENTO"))</f>
        <v>MAIOR GASTO</v>
      </c>
    </row>
    <row r="10" spans="2:26" x14ac:dyDescent="0.25"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2:26" x14ac:dyDescent="0.25"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Z11" s="33" t="s">
        <v>126</v>
      </c>
    </row>
    <row r="12" spans="2:26" x14ac:dyDescent="0.25"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Z12" s="32" t="str">
        <f>IF(Personalização!$D$14="Maior Gasto", "MAIOR GASTO", IF(Personalização!$D$14="Menor Gasto", "MENOR GASTO", "ACOMPANHAMENTO"))</f>
        <v>ACOMPANHAMENTO</v>
      </c>
    </row>
    <row r="13" spans="2:26" ht="15.75" x14ac:dyDescent="0.25">
      <c r="B13" s="25"/>
      <c r="C13" s="25"/>
      <c r="D13" s="25"/>
      <c r="E13" s="25"/>
      <c r="F13" s="25"/>
      <c r="G13" s="25"/>
      <c r="H13" s="25"/>
      <c r="I13" s="25"/>
      <c r="J13" s="25"/>
      <c r="K13" s="35"/>
      <c r="L13" s="35"/>
      <c r="M13" s="35"/>
      <c r="N13" s="35"/>
      <c r="O13" s="25"/>
      <c r="P13" s="25"/>
      <c r="Q13" s="25"/>
      <c r="R13" s="25"/>
      <c r="S13" s="25"/>
    </row>
    <row r="14" spans="2:26" ht="15.75" x14ac:dyDescent="0.25">
      <c r="B14" s="25"/>
      <c r="C14" s="25"/>
      <c r="D14" s="36"/>
      <c r="E14" s="25"/>
      <c r="F14" s="25"/>
      <c r="G14" s="25"/>
      <c r="H14" s="25"/>
      <c r="I14" s="25"/>
      <c r="J14" s="25"/>
      <c r="K14" s="37"/>
      <c r="L14" s="37"/>
      <c r="M14" s="38"/>
      <c r="N14" s="39"/>
      <c r="O14" s="25"/>
      <c r="P14" s="25"/>
      <c r="Q14" s="25"/>
      <c r="R14" s="25"/>
      <c r="S14" s="25"/>
    </row>
    <row r="15" spans="2:26" ht="18" customHeight="1" x14ac:dyDescent="0.25">
      <c r="B15" s="25"/>
      <c r="C15" s="25"/>
      <c r="D15" s="25"/>
      <c r="E15" s="25"/>
      <c r="F15" s="25"/>
      <c r="G15" s="25"/>
      <c r="H15" s="25"/>
      <c r="I15" s="25"/>
      <c r="J15" s="25"/>
      <c r="K15" s="37"/>
      <c r="L15" s="40"/>
      <c r="M15" s="41"/>
      <c r="N15" s="42"/>
      <c r="O15" s="25"/>
      <c r="P15" s="25"/>
      <c r="Q15" s="25"/>
      <c r="R15" s="25"/>
      <c r="S15" s="25"/>
    </row>
    <row r="16" spans="2:26" ht="3" customHeight="1" x14ac:dyDescent="0.25">
      <c r="B16" s="25"/>
      <c r="C16" s="25"/>
      <c r="D16" s="25"/>
      <c r="E16" s="25"/>
      <c r="F16" s="25"/>
      <c r="G16" s="25"/>
      <c r="H16" s="25"/>
      <c r="I16" s="25"/>
      <c r="J16" s="25"/>
      <c r="K16" s="43"/>
      <c r="L16" s="119" t="s">
        <v>62</v>
      </c>
      <c r="M16" s="119"/>
      <c r="N16" s="119" t="s">
        <v>95</v>
      </c>
      <c r="O16" s="119" t="s">
        <v>63</v>
      </c>
      <c r="P16" s="25"/>
      <c r="Q16" s="25"/>
      <c r="R16" s="25"/>
      <c r="S16" s="25"/>
    </row>
    <row r="17" spans="2:19" ht="15.75" customHeight="1" x14ac:dyDescent="0.25"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119"/>
      <c r="M17" s="119"/>
      <c r="N17" s="119"/>
      <c r="O17" s="119"/>
      <c r="P17" s="25"/>
      <c r="Q17" s="25"/>
      <c r="R17" s="25"/>
      <c r="S17" s="25"/>
    </row>
    <row r="18" spans="2:19" ht="15.75" x14ac:dyDescent="0.25">
      <c r="B18" s="25"/>
      <c r="C18" s="25"/>
      <c r="D18" s="25"/>
      <c r="E18" s="25"/>
      <c r="F18" s="25"/>
      <c r="G18" s="25"/>
      <c r="H18" s="25"/>
      <c r="I18" s="25"/>
      <c r="J18" s="25"/>
      <c r="K18" s="43"/>
      <c r="L18" s="44"/>
      <c r="M18" s="44" t="str">
        <f ca="1">IF($O18&lt;&gt;"",Dados!$G6,"")</f>
        <v/>
      </c>
      <c r="N18" s="45" t="str">
        <f ca="1">IF(LARGE(Dados!$C$12:$C$30, Dados!$F6) &lt; 1, "", INDEX(Dados!$B$12:$B$30, MATCH(LARGE(Dados!$D$12:$D$30, Dados!$F6), Dados!$D$12:$D$30, 0)))</f>
        <v/>
      </c>
      <c r="O18" s="46" t="str">
        <f ca="1">IF(LARGE(Dados!$D$12:$D$30, Dados!$F6) &lt; 1, "", INDEX(Dados!$C$12:$C$30, MATCH(LARGE(Dados!$D$12:$D$30, Dados!$F6), Dados!$D$12:$D$30, 0)))</f>
        <v/>
      </c>
      <c r="P18" s="25"/>
      <c r="Q18" s="25"/>
      <c r="R18" s="25"/>
      <c r="S18" s="25"/>
    </row>
    <row r="19" spans="2:19" ht="15.75" x14ac:dyDescent="0.25">
      <c r="B19" s="25"/>
      <c r="C19" s="25"/>
      <c r="D19" s="25"/>
      <c r="E19" s="25"/>
      <c r="F19" s="25"/>
      <c r="G19" s="25"/>
      <c r="H19" s="25"/>
      <c r="I19" s="25"/>
      <c r="J19" s="25"/>
      <c r="K19" s="43"/>
      <c r="L19" s="44"/>
      <c r="M19" s="44" t="str">
        <f ca="1">IF($O19&lt;&gt;"",Dados!$G7,"")</f>
        <v/>
      </c>
      <c r="N19" s="45" t="str">
        <f ca="1">IF(LARGE(Dados!$C$12:$C$30, Dados!$F7) &lt; 1, "", INDEX(Dados!$B$12:$B$30, MATCH(LARGE(Dados!$D$12:$D$30, Dados!$F7), Dados!$D$12:$D$30, 0)))</f>
        <v/>
      </c>
      <c r="O19" s="46" t="str">
        <f ca="1">IF(LARGE(Dados!$D$12:$D$30, Dados!$F7) &lt; 1, "", INDEX(Dados!$C$12:$C$30, MATCH(LARGE(Dados!$D$12:$D$30, Dados!$F7), Dados!$D$12:$D$30, 0)))</f>
        <v/>
      </c>
      <c r="P19" s="25"/>
      <c r="Q19" s="25"/>
      <c r="R19" s="25"/>
      <c r="S19" s="25"/>
    </row>
    <row r="20" spans="2:19" ht="15.75" x14ac:dyDescent="0.25">
      <c r="B20" s="25"/>
      <c r="C20" s="25"/>
      <c r="D20" s="25"/>
      <c r="E20" s="25"/>
      <c r="F20" s="25"/>
      <c r="G20" s="25"/>
      <c r="H20" s="25"/>
      <c r="I20" s="25"/>
      <c r="J20" s="25"/>
      <c r="K20" s="43"/>
      <c r="L20" s="44"/>
      <c r="M20" s="44" t="str">
        <f ca="1">IF($O20&lt;&gt;"",Dados!$G8,"")</f>
        <v/>
      </c>
      <c r="N20" s="45" t="str">
        <f ca="1">IF(LARGE(Dados!$C$12:$C$30, Dados!$F8) &lt; 1, "", INDEX(Dados!$B$12:$B$30, MATCH(LARGE(Dados!$D$12:$D$30, Dados!$F8), Dados!$D$12:$D$30, 0)))</f>
        <v/>
      </c>
      <c r="O20" s="46" t="str">
        <f ca="1">IF(LARGE(Dados!$D$12:$D$30, Dados!$F8) &lt; 1, "", INDEX(Dados!$C$12:$C$30, MATCH(LARGE(Dados!$D$12:$D$30, Dados!$F8), Dados!$D$12:$D$30, 0)))</f>
        <v/>
      </c>
      <c r="P20" s="25"/>
      <c r="Q20" s="25"/>
      <c r="R20" s="25"/>
      <c r="S20" s="25"/>
    </row>
    <row r="21" spans="2:19" ht="15.75" x14ac:dyDescent="0.25">
      <c r="B21" s="25"/>
      <c r="C21" s="25"/>
      <c r="D21" s="25"/>
      <c r="E21" s="25"/>
      <c r="F21" s="25"/>
      <c r="G21" s="39"/>
      <c r="H21" s="39"/>
      <c r="I21" s="39"/>
      <c r="J21" s="39"/>
      <c r="K21" s="47"/>
      <c r="L21" s="46"/>
      <c r="M21" s="44" t="str">
        <f ca="1">IF($O21&lt;&gt;"",Dados!$G9,"")</f>
        <v/>
      </c>
      <c r="N21" s="45" t="str">
        <f ca="1">IF(LARGE(Dados!$C$12:$C$30, Dados!$F9) &lt; 1, "", INDEX(Dados!$B$12:$B$30, MATCH(LARGE(Dados!$D$12:$D$30, Dados!$F9), Dados!$D$12:$D$30, 0)))</f>
        <v/>
      </c>
      <c r="O21" s="46" t="str">
        <f ca="1">IF(LARGE(Dados!$D$12:$D$30, Dados!$F9) &lt; 1, "", INDEX(Dados!$C$12:$C$30, MATCH(LARGE(Dados!$D$12:$D$30, Dados!$F9), Dados!$D$12:$D$30, 0)))</f>
        <v/>
      </c>
      <c r="P21" s="25"/>
      <c r="Q21" s="25"/>
      <c r="R21" s="25"/>
      <c r="S21" s="25"/>
    </row>
    <row r="22" spans="2:19" ht="15.75" x14ac:dyDescent="0.25">
      <c r="B22" s="25"/>
      <c r="C22" s="48"/>
      <c r="D22" s="48"/>
      <c r="E22" s="48"/>
      <c r="F22" s="48"/>
      <c r="G22" s="39"/>
      <c r="H22" s="39"/>
      <c r="I22" s="49"/>
      <c r="J22" s="49"/>
      <c r="K22" s="50"/>
      <c r="L22" s="51"/>
      <c r="M22" s="44" t="str">
        <f ca="1">IF($O22&lt;&gt;"",Dados!$G10,"")</f>
        <v/>
      </c>
      <c r="N22" s="45" t="str">
        <f ca="1">IF(LARGE(Dados!$C$12:$C$30, Dados!$F10) &lt; 1, "", INDEX(Dados!$B$12:$B$30, MATCH(LARGE(Dados!$D$12:$D$30, Dados!$F10), Dados!$D$12:$D$30, 0)))</f>
        <v/>
      </c>
      <c r="O22" s="46" t="str">
        <f ca="1">IF(LARGE(Dados!$D$12:$D$30, Dados!$F10) &lt; 1, "", INDEX(Dados!$C$12:$C$30, MATCH(LARGE(Dados!$D$12:$D$30, Dados!$F10), Dados!$D$12:$D$30, 0)))</f>
        <v/>
      </c>
      <c r="P22" s="25"/>
      <c r="Q22" s="25"/>
      <c r="R22" s="25"/>
      <c r="S22" s="25"/>
    </row>
    <row r="23" spans="2:19" ht="15.75" x14ac:dyDescent="0.25">
      <c r="B23" s="25"/>
      <c r="C23" s="48"/>
      <c r="D23" s="48"/>
      <c r="E23" s="48"/>
      <c r="F23" s="48"/>
      <c r="G23" s="39"/>
      <c r="H23" s="39"/>
      <c r="I23" s="49"/>
      <c r="J23" s="49"/>
      <c r="K23" s="50"/>
      <c r="L23" s="52"/>
      <c r="M23" s="44" t="str">
        <f ca="1">IF($O23&lt;&gt;"",Dados!$G11,"")</f>
        <v/>
      </c>
      <c r="N23" s="45" t="str">
        <f ca="1">IF(LARGE(Dados!$C$12:$C$30, Dados!$F11) &lt; 1, "", INDEX(Dados!$B$12:$B$30, MATCH(LARGE(Dados!$D$12:$D$30, Dados!$F11), Dados!$D$12:$D$30, 0)))</f>
        <v/>
      </c>
      <c r="O23" s="46" t="str">
        <f ca="1">IF(LARGE(Dados!$D$12:$D$30, Dados!$F11) &lt; 1, "", INDEX(Dados!$C$12:$C$30, MATCH(LARGE(Dados!$D$12:$D$30, Dados!$F11), Dados!$D$12:$D$30, 0)))</f>
        <v/>
      </c>
      <c r="P23" s="25"/>
      <c r="Q23" s="25"/>
      <c r="R23" s="25"/>
      <c r="S23" s="25"/>
    </row>
    <row r="24" spans="2:19" ht="15.75" x14ac:dyDescent="0.25">
      <c r="B24" s="25"/>
      <c r="C24" s="48"/>
      <c r="D24" s="48"/>
      <c r="E24" s="48"/>
      <c r="F24" s="48"/>
      <c r="G24" s="39"/>
      <c r="H24" s="39"/>
      <c r="I24" s="49"/>
      <c r="J24" s="49"/>
      <c r="K24" s="50"/>
      <c r="L24" s="51"/>
      <c r="M24" s="44" t="str">
        <f ca="1">IF($O24&lt;&gt;"",Dados!$G12,"")</f>
        <v/>
      </c>
      <c r="N24" s="45" t="str">
        <f ca="1">IF(LARGE(Dados!$C$12:$C$30, Dados!$F12) &lt; 1, "", INDEX(Dados!$B$12:$B$30, MATCH(LARGE(Dados!$D$12:$D$30, Dados!$F12), Dados!$D$12:$D$30, 0)))</f>
        <v/>
      </c>
      <c r="O24" s="46" t="str">
        <f ca="1">IF(LARGE(Dados!$D$12:$D$30, Dados!$F12) &lt; 1, "", INDEX(Dados!$C$12:$C$30, MATCH(LARGE(Dados!$D$12:$D$30, Dados!$F12), Dados!$D$12:$D$30, 0)))</f>
        <v/>
      </c>
      <c r="P24" s="25"/>
      <c r="Q24" s="25"/>
      <c r="R24" s="25"/>
      <c r="S24" s="25"/>
    </row>
    <row r="25" spans="2:19" ht="15.75" x14ac:dyDescent="0.25">
      <c r="B25" s="25"/>
      <c r="C25" s="48"/>
      <c r="D25" s="48"/>
      <c r="E25" s="48"/>
      <c r="F25" s="48"/>
      <c r="G25" s="39"/>
      <c r="H25" s="39"/>
      <c r="I25" s="49"/>
      <c r="J25" s="49"/>
      <c r="K25" s="50"/>
      <c r="L25" s="51"/>
      <c r="M25" s="44" t="str">
        <f ca="1">IF($O25&lt;&gt;"",Dados!$G13,"")</f>
        <v/>
      </c>
      <c r="N25" s="45" t="str">
        <f ca="1">IF(LARGE(Dados!$C$12:$C$30, Dados!$F13) &lt; 1, "", INDEX(Dados!$B$12:$B$30, MATCH(LARGE(Dados!$D$12:$D$30, Dados!$F13), Dados!$D$12:$D$30, 0)))</f>
        <v/>
      </c>
      <c r="O25" s="46" t="str">
        <f ca="1">IF(LARGE(Dados!$D$12:$D$30, Dados!$F13) &lt; 1, "", INDEX(Dados!$C$12:$C$30, MATCH(LARGE(Dados!$D$12:$D$30, Dados!$F13), Dados!$D$12:$D$30, 0)))</f>
        <v/>
      </c>
      <c r="P25" s="25"/>
      <c r="Q25" s="25"/>
      <c r="R25" s="25"/>
      <c r="S25" s="25"/>
    </row>
    <row r="26" spans="2:19" ht="15.75" x14ac:dyDescent="0.25">
      <c r="B26" s="25"/>
      <c r="C26" s="48"/>
      <c r="D26" s="48"/>
      <c r="E26" s="48"/>
      <c r="F26" s="48"/>
      <c r="G26" s="39"/>
      <c r="H26" s="39"/>
      <c r="I26" s="49"/>
      <c r="J26" s="49"/>
      <c r="K26" s="50"/>
      <c r="L26" s="51"/>
      <c r="M26" s="44" t="str">
        <f ca="1">IF($O26&lt;&gt;"",Dados!$G14,"")</f>
        <v/>
      </c>
      <c r="N26" s="45" t="str">
        <f ca="1">IF(LARGE(Dados!$C$12:$C$30, Dados!$F14) &lt; 1, "", INDEX(Dados!$B$12:$B$30, MATCH(LARGE(Dados!$D$12:$D$30, Dados!$F14), Dados!$D$12:$D$30, 0)))</f>
        <v/>
      </c>
      <c r="O26" s="46" t="str">
        <f ca="1">IF(LARGE(Dados!$D$12:$D$30, Dados!$F14) &lt; 1, "", INDEX(Dados!$C$12:$C$30, MATCH(LARGE(Dados!$D$12:$D$30, Dados!$F14), Dados!$D$12:$D$30, 0)))</f>
        <v/>
      </c>
      <c r="P26" s="25"/>
      <c r="Q26" s="25"/>
      <c r="R26" s="25"/>
      <c r="S26" s="25"/>
    </row>
    <row r="27" spans="2:19" ht="15.75" x14ac:dyDescent="0.25">
      <c r="B27" s="25"/>
      <c r="C27" s="48"/>
      <c r="D27" s="48"/>
      <c r="E27" s="48"/>
      <c r="F27" s="48"/>
      <c r="G27" s="39"/>
      <c r="H27" s="39"/>
      <c r="I27" s="49"/>
      <c r="J27" s="49"/>
      <c r="K27" s="50"/>
      <c r="L27" s="51"/>
      <c r="M27" s="44" t="str">
        <f ca="1">IF($O27&lt;&gt;"",Dados!$G15,"")</f>
        <v/>
      </c>
      <c r="N27" s="45" t="str">
        <f ca="1">IF(LARGE(Dados!$C$12:$C$30, Dados!$F15) &lt; 1, "", INDEX(Dados!$B$12:$B$30, MATCH(LARGE(Dados!$D$12:$D$30, Dados!$F15), Dados!$D$12:$D$30, 0)))</f>
        <v/>
      </c>
      <c r="O27" s="46" t="str">
        <f ca="1">IF(LARGE(Dados!$D$12:$D$30, Dados!$F15) &lt; 1, "", INDEX(Dados!$C$12:$C$30, MATCH(LARGE(Dados!$D$12:$D$30, Dados!$F15), Dados!$D$12:$D$30, 0)))</f>
        <v/>
      </c>
      <c r="P27" s="25"/>
      <c r="Q27" s="25"/>
      <c r="R27" s="25"/>
      <c r="S27" s="25"/>
    </row>
    <row r="28" spans="2:19" ht="15.75" x14ac:dyDescent="0.25">
      <c r="B28" s="25"/>
      <c r="C28" s="25"/>
      <c r="D28" s="25"/>
      <c r="E28" s="25"/>
      <c r="F28" s="25"/>
      <c r="G28" s="39"/>
      <c r="H28" s="39"/>
      <c r="I28" s="49"/>
      <c r="J28" s="49"/>
      <c r="K28" s="50"/>
      <c r="L28" s="51"/>
      <c r="M28" s="44" t="str">
        <f ca="1">IF($O28&lt;&gt;"",Dados!$G16,"")</f>
        <v/>
      </c>
      <c r="N28" s="45" t="str">
        <f ca="1">IF(LARGE(Dados!$C$12:$C$30, Dados!$F16) &lt; 1, "", INDEX(Dados!$B$12:$B$30, MATCH(LARGE(Dados!$D$12:$D$30, Dados!$F16), Dados!$D$12:$D$30, 0)))</f>
        <v/>
      </c>
      <c r="O28" s="46" t="str">
        <f ca="1">IF(LARGE(Dados!$D$12:$D$30, Dados!$F16) &lt; 1, "", INDEX(Dados!$C$12:$C$30, MATCH(LARGE(Dados!$D$12:$D$30, Dados!$F16), Dados!$D$12:$D$30, 0)))</f>
        <v/>
      </c>
      <c r="P28" s="25"/>
      <c r="Q28" s="25"/>
      <c r="R28" s="25"/>
      <c r="S28" s="25"/>
    </row>
    <row r="29" spans="2:19" ht="15.75" x14ac:dyDescent="0.25">
      <c r="B29" s="25"/>
      <c r="C29" s="25"/>
      <c r="D29" s="25"/>
      <c r="E29" s="25"/>
      <c r="F29" s="25"/>
      <c r="G29" s="39"/>
      <c r="H29" s="39"/>
      <c r="I29" s="49"/>
      <c r="J29" s="49"/>
      <c r="K29" s="50"/>
      <c r="L29" s="51"/>
      <c r="M29" s="44" t="str">
        <f ca="1">IF($O29&lt;&gt;"",Dados!$G17,"")</f>
        <v/>
      </c>
      <c r="N29" s="45" t="str">
        <f ca="1">IF(LARGE(Dados!$C$12:$C$30, Dados!$F17) &lt; 1, "", INDEX(Dados!$B$12:$B$30, MATCH(LARGE(Dados!$D$12:$D$30, Dados!$F17), Dados!$D$12:$D$30, 0)))</f>
        <v/>
      </c>
      <c r="O29" s="46" t="str">
        <f ca="1">IF(LARGE(Dados!$D$12:$D$30, Dados!$F17) &lt; 1, "", INDEX(Dados!$C$12:$C$30, MATCH(LARGE(Dados!$D$12:$D$30, Dados!$F17), Dados!$D$12:$D$30, 0)))</f>
        <v/>
      </c>
      <c r="P29" s="25"/>
      <c r="Q29" s="25"/>
      <c r="R29" s="25"/>
      <c r="S29" s="25"/>
    </row>
    <row r="30" spans="2:19" ht="15.75" x14ac:dyDescent="0.25">
      <c r="B30" s="25"/>
      <c r="C30" s="25"/>
      <c r="D30" s="25"/>
      <c r="E30" s="25"/>
      <c r="F30" s="25"/>
      <c r="G30" s="39"/>
      <c r="H30" s="39"/>
      <c r="I30" s="49"/>
      <c r="J30" s="49"/>
      <c r="K30" s="50"/>
      <c r="L30" s="51"/>
      <c r="M30" s="44" t="str">
        <f ca="1">IF($O30&lt;&gt;"",Dados!$G18,"")</f>
        <v/>
      </c>
      <c r="N30" s="45" t="str">
        <f ca="1">IF(LARGE(Dados!$C$12:$C$30, Dados!$F18) &lt; 1, "", INDEX(Dados!$B$12:$B$30, MATCH(LARGE(Dados!$D$12:$D$30, Dados!$F18), Dados!$D$12:$D$30, 0)))</f>
        <v/>
      </c>
      <c r="O30" s="46" t="str">
        <f ca="1">IF(LARGE(Dados!$D$12:$D$30, Dados!$F18) &lt; 1, "", INDEX(Dados!$C$12:$C$30, MATCH(LARGE(Dados!$D$12:$D$30, Dados!$F18), Dados!$D$12:$D$30, 0)))</f>
        <v/>
      </c>
      <c r="P30" s="25"/>
      <c r="Q30" s="25"/>
      <c r="R30" s="25"/>
      <c r="S30" s="25"/>
    </row>
    <row r="31" spans="2:19" ht="15.75" x14ac:dyDescent="0.25">
      <c r="B31" s="25"/>
      <c r="C31" s="25"/>
      <c r="D31" s="25"/>
      <c r="E31" s="25"/>
      <c r="F31" s="25"/>
      <c r="G31" s="39"/>
      <c r="H31" s="39"/>
      <c r="I31" s="49"/>
      <c r="J31" s="49"/>
      <c r="K31" s="50"/>
      <c r="L31" s="51"/>
      <c r="M31" s="44" t="str">
        <f ca="1">IF($O31&lt;&gt;"",Dados!$G19,"")</f>
        <v/>
      </c>
      <c r="N31" s="45" t="str">
        <f ca="1">IF(LARGE(Dados!$C$12:$C$30, Dados!$F19) &lt; 1, "", INDEX(Dados!$B$12:$B$30, MATCH(LARGE(Dados!$D$12:$D$30, Dados!$F19), Dados!$D$12:$D$30, 0)))</f>
        <v/>
      </c>
      <c r="O31" s="46" t="str">
        <f ca="1">IF(LARGE(Dados!$D$12:$D$30, Dados!$F19) &lt; 1, "", INDEX(Dados!$C$12:$C$30, MATCH(LARGE(Dados!$D$12:$D$30, Dados!$F19), Dados!$D$12:$D$30, 0)))</f>
        <v/>
      </c>
      <c r="P31" s="25"/>
      <c r="Q31" s="25"/>
      <c r="R31" s="25"/>
      <c r="S31" s="25"/>
    </row>
    <row r="32" spans="2:19" ht="15.75" x14ac:dyDescent="0.25">
      <c r="B32" s="25"/>
      <c r="C32" s="25"/>
      <c r="D32" s="25"/>
      <c r="E32" s="25"/>
      <c r="F32" s="25"/>
      <c r="G32" s="39"/>
      <c r="H32" s="39"/>
      <c r="I32" s="49"/>
      <c r="J32" s="49"/>
      <c r="K32" s="50"/>
      <c r="L32" s="51"/>
      <c r="M32" s="44" t="str">
        <f ca="1">IF($O32&lt;&gt;"",Dados!$G20,"")</f>
        <v/>
      </c>
      <c r="N32" s="45" t="str">
        <f ca="1">IF(LARGE(Dados!$C$12:$C$30, Dados!$F20) &lt; 1, "", INDEX(Dados!$B$12:$B$30, MATCH(LARGE(Dados!$D$12:$D$30, Dados!$F20), Dados!$D$12:$D$30, 0)))</f>
        <v/>
      </c>
      <c r="O32" s="46" t="str">
        <f ca="1">IF(LARGE(Dados!$D$12:$D$30, Dados!$F20) &lt; 1, "", INDEX(Dados!$C$12:$C$30, MATCH(LARGE(Dados!$D$12:$D$30, Dados!$F20), Dados!$D$12:$D$30, 0)))</f>
        <v/>
      </c>
      <c r="P32" s="25"/>
      <c r="Q32" s="25"/>
      <c r="R32" s="25"/>
      <c r="S32" s="25"/>
    </row>
    <row r="33" spans="2:19" ht="15.75" x14ac:dyDescent="0.25">
      <c r="B33" s="25"/>
      <c r="C33" s="25"/>
      <c r="D33" s="25"/>
      <c r="E33" s="25"/>
      <c r="F33" s="25"/>
      <c r="G33" s="39"/>
      <c r="H33" s="39"/>
      <c r="I33" s="49"/>
      <c r="J33" s="49"/>
      <c r="K33" s="50"/>
      <c r="L33" s="51"/>
      <c r="M33" s="44" t="str">
        <f ca="1">IF($O33&lt;&gt;"",Dados!$G21,"")</f>
        <v/>
      </c>
      <c r="N33" s="45" t="str">
        <f ca="1">IF(LARGE(Dados!$C$12:$C$30, Dados!$F21) &lt; 1, "", INDEX(Dados!$B$12:$B$30, MATCH(LARGE(Dados!$D$12:$D$30, Dados!$F21), Dados!$D$12:$D$30, 0)))</f>
        <v/>
      </c>
      <c r="O33" s="46" t="str">
        <f ca="1">IF(LARGE(Dados!$D$12:$D$30, Dados!$F21) &lt; 1, "", INDEX(Dados!$C$12:$C$30, MATCH(LARGE(Dados!$D$12:$D$30, Dados!$F21), Dados!$D$12:$D$30, 0)))</f>
        <v/>
      </c>
      <c r="P33" s="51"/>
      <c r="Q33" s="51"/>
      <c r="R33" s="25"/>
      <c r="S33" s="25"/>
    </row>
    <row r="34" spans="2:19" ht="6" customHeight="1" x14ac:dyDescent="0.25">
      <c r="B34" s="25"/>
      <c r="C34" s="48"/>
      <c r="D34" s="48"/>
      <c r="E34" s="48"/>
      <c r="F34" s="25"/>
      <c r="G34" s="39"/>
      <c r="H34" s="39"/>
      <c r="I34" s="49"/>
      <c r="J34" s="49"/>
      <c r="K34" s="49"/>
      <c r="L34" s="51"/>
      <c r="M34" s="51"/>
      <c r="N34" s="51"/>
      <c r="O34" s="51"/>
      <c r="P34" s="51"/>
      <c r="Q34" s="51"/>
      <c r="R34" s="25"/>
      <c r="S34" s="25"/>
    </row>
    <row r="35" spans="2:19" ht="15.75" x14ac:dyDescent="0.25">
      <c r="B35" s="25"/>
      <c r="C35" s="48"/>
      <c r="D35" s="48"/>
      <c r="E35" s="48"/>
      <c r="F35" s="25"/>
      <c r="G35" s="39"/>
      <c r="H35" s="39"/>
      <c r="I35" s="49"/>
      <c r="J35" s="49"/>
      <c r="K35" s="49"/>
      <c r="L35" s="49"/>
      <c r="M35" s="49"/>
      <c r="N35" s="39"/>
      <c r="O35" s="25"/>
      <c r="P35" s="25"/>
      <c r="Q35" s="25"/>
      <c r="R35" s="25"/>
      <c r="S35" s="25"/>
    </row>
    <row r="36" spans="2:19" ht="15.75" x14ac:dyDescent="0.25">
      <c r="B36" s="25"/>
      <c r="C36" s="48"/>
      <c r="D36" s="48"/>
      <c r="E36" s="48"/>
      <c r="F36" s="25"/>
      <c r="G36" s="39"/>
      <c r="H36" s="39"/>
      <c r="I36" s="49"/>
      <c r="J36" s="49"/>
      <c r="K36" s="49"/>
      <c r="L36" s="49"/>
      <c r="M36" s="49"/>
      <c r="N36" s="39"/>
      <c r="O36" s="25"/>
      <c r="P36" s="25"/>
      <c r="Q36" s="25"/>
      <c r="R36" s="25"/>
      <c r="S36" s="25"/>
    </row>
    <row r="37" spans="2:19" ht="15.75" x14ac:dyDescent="0.25">
      <c r="B37" s="25"/>
      <c r="C37" s="48"/>
      <c r="D37" s="48"/>
      <c r="E37" s="48"/>
      <c r="F37" s="25"/>
      <c r="G37" s="39"/>
      <c r="H37" s="39"/>
      <c r="I37" s="49"/>
      <c r="J37" s="49"/>
      <c r="K37" s="49"/>
      <c r="L37" s="49"/>
      <c r="M37" s="49"/>
      <c r="N37" s="39"/>
      <c r="O37" s="25"/>
      <c r="P37" s="25"/>
      <c r="Q37" s="25"/>
      <c r="R37" s="25"/>
      <c r="S37" s="25"/>
    </row>
    <row r="38" spans="2:19" ht="15.75" x14ac:dyDescent="0.25">
      <c r="B38" s="25"/>
      <c r="C38" s="48"/>
      <c r="D38" s="48"/>
      <c r="E38" s="48"/>
      <c r="F38" s="25"/>
      <c r="G38" s="39"/>
      <c r="H38" s="39"/>
      <c r="I38" s="49"/>
      <c r="J38" s="49"/>
      <c r="K38" s="49"/>
      <c r="L38" s="49"/>
      <c r="M38" s="49"/>
      <c r="N38" s="39"/>
      <c r="O38" s="25"/>
      <c r="P38" s="25"/>
      <c r="Q38" s="25"/>
      <c r="R38" s="25"/>
      <c r="S38" s="25"/>
    </row>
    <row r="39" spans="2:19" ht="15.75" x14ac:dyDescent="0.25">
      <c r="B39" s="25"/>
      <c r="C39" s="48"/>
      <c r="D39" s="48"/>
      <c r="E39" s="48"/>
      <c r="F39" s="25"/>
      <c r="G39" s="39"/>
      <c r="H39" s="39"/>
      <c r="I39" s="49"/>
      <c r="J39" s="49"/>
      <c r="K39" s="49"/>
      <c r="L39" s="49"/>
      <c r="M39" s="49"/>
      <c r="N39" s="39"/>
      <c r="O39" s="25"/>
      <c r="P39" s="25"/>
      <c r="Q39" s="25"/>
      <c r="R39" s="25"/>
      <c r="S39" s="25"/>
    </row>
    <row r="40" spans="2:19" ht="15.75" x14ac:dyDescent="0.25">
      <c r="B40" s="25"/>
      <c r="C40" s="48"/>
      <c r="D40" s="48"/>
      <c r="E40" s="48"/>
      <c r="F40" s="25"/>
      <c r="G40" s="39"/>
      <c r="H40" s="39"/>
      <c r="I40" s="49"/>
      <c r="J40" s="49"/>
      <c r="K40" s="49"/>
      <c r="L40" s="49"/>
      <c r="M40" s="49"/>
      <c r="N40" s="39"/>
      <c r="O40" s="25"/>
      <c r="P40" s="25"/>
      <c r="Q40" s="25"/>
      <c r="R40" s="25"/>
      <c r="S40" s="25"/>
    </row>
    <row r="41" spans="2:19" ht="15.75" x14ac:dyDescent="0.25">
      <c r="B41" s="25"/>
      <c r="C41" s="48"/>
      <c r="D41" s="48"/>
      <c r="E41" s="48"/>
      <c r="F41" s="25"/>
      <c r="G41" s="39"/>
      <c r="H41" s="39"/>
      <c r="I41" s="49"/>
      <c r="J41" s="49"/>
      <c r="K41" s="49"/>
      <c r="L41" s="49"/>
      <c r="M41" s="49"/>
      <c r="N41" s="39"/>
      <c r="O41" s="25"/>
      <c r="P41" s="25"/>
      <c r="Q41" s="25"/>
      <c r="R41" s="25"/>
      <c r="S41" s="25"/>
    </row>
    <row r="42" spans="2:19" ht="15.75" x14ac:dyDescent="0.25">
      <c r="B42" s="25"/>
      <c r="C42" s="48"/>
      <c r="D42" s="48"/>
      <c r="E42" s="48"/>
      <c r="F42" s="25"/>
      <c r="G42" s="39"/>
      <c r="H42" s="39"/>
      <c r="I42" s="49"/>
      <c r="J42" s="49"/>
      <c r="K42" s="49"/>
      <c r="L42" s="49"/>
      <c r="M42" s="49"/>
      <c r="N42" s="39"/>
      <c r="O42" s="25"/>
      <c r="P42" s="25"/>
      <c r="Q42" s="25"/>
      <c r="R42" s="25"/>
      <c r="S42" s="25"/>
    </row>
    <row r="43" spans="2:19" ht="15.75" x14ac:dyDescent="0.25">
      <c r="B43" s="25"/>
      <c r="C43" s="48"/>
      <c r="D43" s="48"/>
      <c r="E43" s="48"/>
      <c r="F43" s="25"/>
      <c r="G43" s="39"/>
      <c r="H43" s="39"/>
      <c r="I43" s="49"/>
      <c r="J43" s="49"/>
      <c r="K43" s="49"/>
      <c r="L43" s="49"/>
      <c r="M43" s="49"/>
      <c r="N43" s="39"/>
      <c r="O43" s="25"/>
      <c r="P43" s="25"/>
      <c r="Q43" s="25"/>
      <c r="R43" s="25"/>
      <c r="S43" s="25"/>
    </row>
    <row r="44" spans="2:19" ht="15.75" x14ac:dyDescent="0.25">
      <c r="B44" s="25"/>
      <c r="C44" s="48"/>
      <c r="D44" s="48"/>
      <c r="E44" s="48"/>
      <c r="F44" s="25"/>
      <c r="G44" s="39"/>
      <c r="H44" s="39"/>
      <c r="I44" s="39"/>
      <c r="J44" s="39"/>
      <c r="K44" s="39"/>
      <c r="L44" s="39"/>
      <c r="M44" s="39"/>
      <c r="N44" s="49"/>
      <c r="O44" s="25"/>
      <c r="P44" s="25"/>
      <c r="Q44" s="25"/>
      <c r="R44" s="25"/>
      <c r="S44" s="25"/>
    </row>
    <row r="45" spans="2:19" ht="15.75" x14ac:dyDescent="0.25">
      <c r="B45" s="25"/>
      <c r="C45" s="48"/>
      <c r="D45" s="48"/>
      <c r="E45" s="48"/>
      <c r="F45" s="25"/>
      <c r="G45" s="39"/>
      <c r="H45" s="39"/>
      <c r="I45" s="39"/>
      <c r="J45" s="39"/>
      <c r="K45" s="39"/>
      <c r="L45" s="39"/>
      <c r="M45" s="39"/>
      <c r="N45" s="39"/>
      <c r="O45" s="25"/>
      <c r="P45" s="25"/>
      <c r="Q45" s="25"/>
      <c r="R45" s="25"/>
      <c r="S45" s="25"/>
    </row>
    <row r="46" spans="2:19" ht="15.75" x14ac:dyDescent="0.25">
      <c r="B46" s="25"/>
      <c r="C46" s="48"/>
      <c r="D46" s="48"/>
      <c r="E46" s="48"/>
      <c r="F46" s="25"/>
      <c r="G46" s="39"/>
      <c r="H46" s="39"/>
      <c r="I46" s="39"/>
      <c r="J46" s="39"/>
      <c r="K46" s="39"/>
      <c r="L46" s="39"/>
      <c r="M46" s="39"/>
      <c r="N46" s="39"/>
      <c r="O46" s="25"/>
      <c r="P46" s="25"/>
      <c r="Q46" s="25"/>
      <c r="R46" s="25"/>
      <c r="S46" s="25"/>
    </row>
    <row r="47" spans="2:19" ht="15.75" x14ac:dyDescent="0.25">
      <c r="B47" s="25"/>
      <c r="C47" s="48"/>
      <c r="D47" s="48"/>
      <c r="E47" s="48"/>
      <c r="F47" s="25"/>
      <c r="G47" s="39"/>
      <c r="H47" s="39"/>
      <c r="I47" s="39"/>
      <c r="J47" s="39"/>
      <c r="K47" s="39"/>
      <c r="L47" s="39"/>
      <c r="M47" s="39"/>
      <c r="N47" s="39"/>
      <c r="O47" s="25"/>
      <c r="P47" s="25"/>
      <c r="Q47" s="25"/>
      <c r="R47" s="25"/>
      <c r="S47" s="25"/>
    </row>
    <row r="48" spans="2:19" ht="15.75" x14ac:dyDescent="0.25">
      <c r="B48" s="25"/>
      <c r="C48" s="48"/>
      <c r="D48" s="48"/>
      <c r="E48" s="48"/>
      <c r="F48" s="25"/>
      <c r="G48" s="39"/>
      <c r="H48" s="39"/>
      <c r="I48" s="39"/>
      <c r="J48" s="39"/>
      <c r="K48" s="39"/>
      <c r="L48" s="39"/>
      <c r="M48" s="39"/>
      <c r="N48" s="39"/>
      <c r="O48" s="25"/>
      <c r="P48" s="25"/>
      <c r="Q48" s="25"/>
      <c r="R48" s="25"/>
      <c r="S48" s="25"/>
    </row>
    <row r="49" spans="2:19" x14ac:dyDescent="0.25">
      <c r="B49" s="25"/>
      <c r="C49" s="48"/>
      <c r="D49" s="48"/>
      <c r="E49" s="48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</row>
    <row r="50" spans="2:19" x14ac:dyDescent="0.25">
      <c r="B50" s="25"/>
      <c r="C50" s="48"/>
      <c r="D50" s="48"/>
      <c r="E50" s="48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</row>
    <row r="51" spans="2:19" x14ac:dyDescent="0.25">
      <c r="B51" s="25"/>
      <c r="C51" s="48"/>
      <c r="D51" s="48"/>
      <c r="E51" s="48"/>
      <c r="F51" s="25"/>
      <c r="G51" s="25"/>
      <c r="H51" s="25"/>
      <c r="I51" s="48"/>
      <c r="J51" s="48"/>
      <c r="K51" s="48"/>
      <c r="L51" s="48"/>
      <c r="M51" s="48"/>
      <c r="N51" s="25"/>
      <c r="O51" s="25"/>
      <c r="P51" s="25"/>
      <c r="Q51" s="25"/>
      <c r="R51" s="25"/>
      <c r="S51" s="25"/>
    </row>
    <row r="52" spans="2:19" x14ac:dyDescent="0.25">
      <c r="B52" s="25"/>
      <c r="C52" s="48"/>
      <c r="D52" s="48"/>
      <c r="E52" s="48"/>
      <c r="F52" s="25"/>
      <c r="G52" s="25"/>
      <c r="H52" s="25"/>
      <c r="I52" s="48"/>
      <c r="J52" s="48"/>
      <c r="K52" s="48"/>
      <c r="L52" s="48"/>
      <c r="M52" s="48"/>
      <c r="N52" s="25"/>
      <c r="O52" s="25"/>
      <c r="P52" s="25"/>
      <c r="Q52" s="25"/>
      <c r="R52" s="25"/>
      <c r="S52" s="25"/>
    </row>
    <row r="53" spans="2:19" x14ac:dyDescent="0.25">
      <c r="B53" s="25"/>
      <c r="C53" s="48"/>
      <c r="D53" s="48"/>
      <c r="E53" s="48"/>
      <c r="F53" s="25"/>
      <c r="G53" s="25"/>
      <c r="H53" s="25"/>
      <c r="I53" s="48"/>
      <c r="J53" s="48"/>
      <c r="K53" s="48"/>
      <c r="L53" s="48"/>
      <c r="M53" s="48"/>
      <c r="N53" s="25"/>
      <c r="O53" s="25"/>
      <c r="P53" s="25"/>
      <c r="Q53" s="25"/>
      <c r="R53" s="25"/>
      <c r="S53" s="25"/>
    </row>
    <row r="54" spans="2:19" x14ac:dyDescent="0.25">
      <c r="B54" s="25"/>
      <c r="C54" s="48"/>
      <c r="D54" s="48"/>
      <c r="E54" s="48"/>
      <c r="F54" s="25"/>
      <c r="G54" s="25"/>
      <c r="H54" s="25"/>
      <c r="I54" s="48"/>
      <c r="J54" s="48"/>
      <c r="K54" s="48"/>
      <c r="L54" s="48"/>
      <c r="M54" s="48"/>
      <c r="N54" s="25"/>
      <c r="O54" s="25"/>
      <c r="P54" s="25"/>
      <c r="Q54" s="25"/>
      <c r="R54" s="25"/>
      <c r="S54" s="25"/>
    </row>
    <row r="55" spans="2:19" x14ac:dyDescent="0.25">
      <c r="B55" s="25"/>
      <c r="C55" s="25"/>
      <c r="D55" s="25"/>
      <c r="E55" s="25"/>
      <c r="F55" s="25"/>
      <c r="G55" s="25"/>
      <c r="H55" s="25"/>
      <c r="I55" s="48"/>
      <c r="J55" s="48"/>
      <c r="K55" s="48"/>
      <c r="L55" s="48"/>
      <c r="M55" s="48"/>
      <c r="N55" s="25"/>
      <c r="O55" s="25"/>
      <c r="P55" s="25"/>
      <c r="Q55" s="25"/>
      <c r="R55" s="25"/>
      <c r="S55" s="25"/>
    </row>
    <row r="56" spans="2:19" x14ac:dyDescent="0.25">
      <c r="B56" s="25"/>
      <c r="C56" s="25"/>
      <c r="D56" s="25"/>
      <c r="E56" s="25"/>
      <c r="F56" s="25"/>
      <c r="G56" s="25"/>
      <c r="H56" s="25"/>
      <c r="I56" s="48"/>
      <c r="J56" s="48"/>
      <c r="K56" s="48"/>
      <c r="L56" s="48"/>
      <c r="M56" s="48"/>
      <c r="N56" s="25"/>
      <c r="O56" s="25"/>
      <c r="P56" s="25"/>
      <c r="Q56" s="25"/>
      <c r="R56" s="25"/>
      <c r="S56" s="25"/>
    </row>
    <row r="57" spans="2:19" x14ac:dyDescent="0.25">
      <c r="B57" s="25"/>
      <c r="C57" s="25"/>
      <c r="D57" s="25"/>
      <c r="E57" s="25"/>
      <c r="F57" s="25"/>
      <c r="G57" s="25"/>
      <c r="H57" s="25"/>
      <c r="I57" s="48"/>
      <c r="J57" s="48"/>
      <c r="K57" s="48"/>
      <c r="L57" s="48"/>
      <c r="M57" s="48"/>
      <c r="N57" s="25"/>
      <c r="O57" s="25"/>
      <c r="P57" s="25"/>
      <c r="Q57" s="25"/>
      <c r="R57" s="25"/>
      <c r="S57" s="25"/>
    </row>
    <row r="58" spans="2:19" x14ac:dyDescent="0.25">
      <c r="B58" s="25"/>
      <c r="C58" s="25"/>
      <c r="D58" s="25"/>
      <c r="E58" s="25"/>
      <c r="F58" s="25"/>
      <c r="G58" s="25"/>
      <c r="H58" s="25"/>
      <c r="I58" s="48"/>
      <c r="J58" s="48"/>
      <c r="K58" s="48"/>
      <c r="L58" s="48"/>
      <c r="M58" s="48"/>
      <c r="N58" s="25"/>
      <c r="O58" s="25"/>
      <c r="P58" s="25"/>
      <c r="Q58" s="25"/>
      <c r="R58" s="25"/>
      <c r="S58" s="25"/>
    </row>
    <row r="59" spans="2:19" x14ac:dyDescent="0.25">
      <c r="B59" s="25"/>
      <c r="C59" s="25"/>
      <c r="D59" s="25"/>
      <c r="E59" s="25"/>
      <c r="F59" s="25"/>
      <c r="G59" s="25"/>
      <c r="H59" s="25"/>
      <c r="I59" s="48"/>
      <c r="J59" s="48"/>
      <c r="K59" s="48"/>
      <c r="L59" s="48"/>
      <c r="M59" s="48"/>
      <c r="N59" s="25"/>
      <c r="O59" s="25"/>
      <c r="P59" s="25"/>
      <c r="Q59" s="25"/>
      <c r="R59" s="25"/>
      <c r="S59" s="25"/>
    </row>
    <row r="60" spans="2:19" x14ac:dyDescent="0.25">
      <c r="B60" s="25"/>
      <c r="C60" s="25"/>
      <c r="D60" s="25"/>
      <c r="E60" s="25"/>
      <c r="F60" s="25"/>
      <c r="G60" s="25"/>
      <c r="H60" s="25"/>
      <c r="I60" s="48"/>
      <c r="J60" s="48"/>
      <c r="K60" s="48"/>
      <c r="L60" s="48"/>
      <c r="M60" s="48"/>
      <c r="N60" s="25"/>
      <c r="O60" s="25"/>
      <c r="P60" s="25"/>
      <c r="Q60" s="25"/>
      <c r="R60" s="25"/>
      <c r="S60" s="25"/>
    </row>
    <row r="61" spans="2:19" x14ac:dyDescent="0.25">
      <c r="B61" s="25"/>
      <c r="C61" s="25"/>
      <c r="D61" s="25"/>
      <c r="E61" s="25"/>
      <c r="F61" s="25"/>
      <c r="G61" s="25"/>
      <c r="H61" s="25"/>
      <c r="I61" s="48"/>
      <c r="J61" s="48"/>
      <c r="K61" s="48"/>
      <c r="L61" s="48"/>
      <c r="M61" s="48"/>
      <c r="N61" s="25"/>
      <c r="O61" s="25"/>
      <c r="P61" s="25"/>
      <c r="Q61" s="25"/>
      <c r="R61" s="25"/>
      <c r="S61" s="25"/>
    </row>
    <row r="62" spans="2:19" x14ac:dyDescent="0.25">
      <c r="B62" s="25"/>
      <c r="C62" s="25"/>
      <c r="D62" s="25"/>
      <c r="E62" s="25"/>
      <c r="F62" s="25"/>
      <c r="G62" s="25"/>
      <c r="H62" s="25"/>
      <c r="I62" s="48"/>
      <c r="J62" s="48"/>
      <c r="K62" s="48"/>
      <c r="L62" s="48"/>
      <c r="M62" s="48"/>
      <c r="N62" s="25"/>
      <c r="O62" s="25"/>
      <c r="P62" s="25"/>
      <c r="Q62" s="25"/>
      <c r="R62" s="25"/>
      <c r="S62" s="25"/>
    </row>
    <row r="63" spans="2:19" x14ac:dyDescent="0.25">
      <c r="B63" s="25"/>
      <c r="C63" s="25"/>
      <c r="D63" s="25"/>
      <c r="E63" s="25"/>
      <c r="F63" s="25"/>
      <c r="G63" s="25"/>
      <c r="H63" s="25"/>
      <c r="I63" s="48"/>
      <c r="J63" s="48"/>
      <c r="K63" s="48"/>
      <c r="L63" s="48"/>
      <c r="M63" s="48"/>
      <c r="N63" s="25"/>
      <c r="O63" s="25"/>
      <c r="P63" s="25"/>
      <c r="Q63" s="25"/>
      <c r="R63" s="25"/>
      <c r="S63" s="25"/>
    </row>
    <row r="64" spans="2:19" x14ac:dyDescent="0.25">
      <c r="B64" s="25"/>
      <c r="C64" s="25"/>
      <c r="D64" s="25"/>
      <c r="E64" s="25"/>
      <c r="F64" s="25"/>
      <c r="G64" s="25"/>
      <c r="H64" s="25"/>
      <c r="I64" s="48"/>
      <c r="J64" s="48"/>
      <c r="K64" s="48"/>
      <c r="L64" s="48"/>
      <c r="M64" s="48"/>
      <c r="N64" s="25"/>
      <c r="O64" s="25"/>
      <c r="P64" s="25"/>
      <c r="Q64" s="25"/>
      <c r="R64" s="25"/>
      <c r="S64" s="25"/>
    </row>
    <row r="65" spans="2:19" x14ac:dyDescent="0.25">
      <c r="B65" s="25"/>
      <c r="C65" s="25"/>
      <c r="D65" s="25"/>
      <c r="E65" s="25"/>
      <c r="F65" s="25"/>
      <c r="G65" s="25"/>
      <c r="H65" s="25"/>
      <c r="I65" s="48"/>
      <c r="J65" s="48"/>
      <c r="K65" s="48"/>
      <c r="L65" s="48"/>
      <c r="M65" s="48"/>
      <c r="N65" s="25"/>
      <c r="O65" s="25"/>
      <c r="P65" s="25"/>
      <c r="Q65" s="25"/>
      <c r="R65" s="25"/>
      <c r="S65" s="25"/>
    </row>
    <row r="66" spans="2:19" x14ac:dyDescent="0.25">
      <c r="B66" s="25"/>
      <c r="C66" s="25"/>
      <c r="D66" s="25"/>
      <c r="E66" s="25"/>
      <c r="F66" s="25"/>
      <c r="G66" s="25"/>
      <c r="H66" s="25"/>
      <c r="I66" s="48"/>
      <c r="J66" s="48"/>
      <c r="K66" s="48"/>
      <c r="L66" s="48"/>
      <c r="M66" s="48"/>
      <c r="N66" s="25"/>
      <c r="O66" s="25"/>
      <c r="P66" s="25"/>
      <c r="Q66" s="25"/>
      <c r="R66" s="25"/>
      <c r="S66" s="25"/>
    </row>
    <row r="67" spans="2:19" x14ac:dyDescent="0.25">
      <c r="B67" s="25"/>
      <c r="C67" s="25"/>
      <c r="D67" s="25"/>
      <c r="E67" s="25"/>
      <c r="F67" s="25"/>
      <c r="G67" s="25"/>
      <c r="H67" s="25"/>
      <c r="I67" s="48"/>
      <c r="J67" s="48"/>
      <c r="K67" s="48"/>
      <c r="L67" s="48"/>
      <c r="M67" s="48"/>
      <c r="N67" s="25"/>
      <c r="O67" s="25"/>
      <c r="P67" s="25"/>
      <c r="Q67" s="25"/>
      <c r="R67" s="25"/>
      <c r="S67" s="25"/>
    </row>
    <row r="68" spans="2:19" x14ac:dyDescent="0.25"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</row>
    <row r="69" spans="2:19" x14ac:dyDescent="0.25"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</row>
    <row r="70" spans="2:19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</row>
    <row r="71" spans="2:19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</row>
    <row r="72" spans="2:19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</row>
    <row r="73" spans="2:19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</row>
    <row r="74" spans="2:19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</row>
    <row r="75" spans="2:19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</row>
    <row r="76" spans="2:19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</row>
    <row r="77" spans="2:19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</row>
    <row r="78" spans="2:19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</row>
    <row r="79" spans="2:19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</row>
    <row r="80" spans="2:19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pans="9:15" s="1" customFormat="1" x14ac:dyDescent="0.25"/>
    <row r="98" spans="9:15" s="1" customFormat="1" x14ac:dyDescent="0.25"/>
    <row r="99" spans="9:15" s="1" customFormat="1" x14ac:dyDescent="0.25"/>
    <row r="100" spans="9:15" s="1" customFormat="1" x14ac:dyDescent="0.25"/>
    <row r="101" spans="9:15" s="1" customFormat="1" x14ac:dyDescent="0.25"/>
    <row r="102" spans="9:15" s="1" customFormat="1" x14ac:dyDescent="0.25"/>
    <row r="103" spans="9:15" s="1" customFormat="1" x14ac:dyDescent="0.25"/>
    <row r="104" spans="9:15" s="1" customFormat="1" x14ac:dyDescent="0.25"/>
    <row r="105" spans="9:15" s="1" customFormat="1" x14ac:dyDescent="0.25"/>
    <row r="106" spans="9:15" s="1" customFormat="1" x14ac:dyDescent="0.25"/>
    <row r="107" spans="9:15" s="1" customFormat="1" x14ac:dyDescent="0.25"/>
    <row r="108" spans="9:15" s="1" customFormat="1" x14ac:dyDescent="0.25"/>
    <row r="109" spans="9:15" s="1" customFormat="1" x14ac:dyDescent="0.25"/>
    <row r="110" spans="9:15" s="1" customFormat="1" x14ac:dyDescent="0.25"/>
    <row r="111" spans="9:15" s="1" customFormat="1" x14ac:dyDescent="0.25"/>
    <row r="112" spans="9:15" s="1" customFormat="1" x14ac:dyDescent="0.25">
      <c r="I112" s="10"/>
      <c r="J112" s="10"/>
      <c r="K112" s="10"/>
      <c r="L112" s="10"/>
      <c r="M112" s="10"/>
      <c r="N112" s="10"/>
      <c r="O112" s="10"/>
    </row>
    <row r="113" spans="9:15" s="1" customFormat="1" x14ac:dyDescent="0.25">
      <c r="I113" s="10"/>
      <c r="J113" s="10"/>
      <c r="K113" s="10"/>
      <c r="L113" s="10"/>
      <c r="M113" s="10"/>
      <c r="N113" s="10"/>
      <c r="O113" s="10"/>
    </row>
    <row r="114" spans="9:15" s="1" customFormat="1" x14ac:dyDescent="0.25">
      <c r="I114" s="10"/>
      <c r="J114" s="10"/>
      <c r="K114" s="10"/>
      <c r="L114" s="10"/>
      <c r="M114" s="10"/>
      <c r="N114" s="10"/>
      <c r="O114" s="10"/>
    </row>
  </sheetData>
  <sheetProtection sheet="1" objects="1" scenarios="1" formatColumns="0" formatRows="0" autoFilter="0" pivotTables="0"/>
  <protectedRanges>
    <protectedRange sqref="I26:L26 I41:N44 I27:J40 K29:L29 K32:L33 K36:L36 K39:L39 C39:D55 I56:M56 I73:N76 I57:J72 M57:M72 K59:L62 K65:L65 K68:L68 K71:L71 K93:L93 I98:N101 I88:J97 M88:M97 K96:L96 K90:L90 M34:M40" name="Cartão1_2_2"/>
    <protectedRange sqref="O45 O77 O102" name="Cartão1 Pagamento_1"/>
    <protectedRange sqref="I25:L25 K40:L40 K28:L28 K30:L31 K34:L35 K37:L38 C37:D38 I54:N54 I55:M55 K72:L72 K57:L58 K63:L64 K66:L67 K69:L70 N55:N72 I86:N86 I87:M87 K97:L97 K88:L89 K91:L92 K94:L95 N87:N97 N34:N40" name="Cartão1_1_1"/>
    <protectedRange sqref="C35:E35 I52:N53 I84:N85 C36:D36 E36:E55" name="Cartão1"/>
    <protectedRange sqref="I22:L24" name="Cartão1_2_1"/>
  </protectedRanges>
  <mergeCells count="3">
    <mergeCell ref="L16:M17"/>
    <mergeCell ref="N16:N17"/>
    <mergeCell ref="O16:O17"/>
  </mergeCells>
  <conditionalFormatting sqref="K13:N15 G21:J48 K35:N48 K16 K18:K34 C63:E67">
    <cfRule type="expression" dxfId="881" priority="15">
      <formula>$E13&lt;&gt;""</formula>
    </cfRule>
    <cfRule type="expression" dxfId="880" priority="16">
      <formula>$E13=""</formula>
    </cfRule>
  </conditionalFormatting>
  <conditionalFormatting sqref="C22:F27">
    <cfRule type="expression" dxfId="879" priority="7">
      <formula>$F22="Pago"</formula>
    </cfRule>
  </conditionalFormatting>
  <conditionalFormatting sqref="I52:O76">
    <cfRule type="expression" dxfId="878" priority="12">
      <formula>$O$77=TRUE</formula>
    </cfRule>
    <cfRule type="expression" dxfId="877" priority="13">
      <formula>AND(COUNTIF($I$52:$O$76,"Parc." &amp; $Z$28)&gt;0,$I52&lt;&gt;"Parc." &amp; $Z$28,$I52&lt;&gt;"")</formula>
    </cfRule>
  </conditionalFormatting>
  <conditionalFormatting sqref="I84:O101">
    <cfRule type="expression" dxfId="876" priority="9">
      <formula>$O$102=TRUE</formula>
    </cfRule>
    <cfRule type="expression" dxfId="875" priority="10">
      <formula>AND(COUNTIF($I$84:$O$101,"Parc." &amp; $Z$28)&gt;0,$I84&lt;&gt;"Parc." &amp; $Z$28,$I84&lt;&gt;"")</formula>
    </cfRule>
  </conditionalFormatting>
  <conditionalFormatting sqref="M45:N45">
    <cfRule type="expression" dxfId="874" priority="14">
      <formula>$O$45=TRUE</formula>
    </cfRule>
  </conditionalFormatting>
  <conditionalFormatting sqref="M77:N77">
    <cfRule type="expression" dxfId="873" priority="11">
      <formula>$O$77=TRUE</formula>
    </cfRule>
  </conditionalFormatting>
  <conditionalFormatting sqref="M102:N102">
    <cfRule type="expression" dxfId="872" priority="8">
      <formula>$O$102=TRUE</formula>
    </cfRule>
  </conditionalFormatting>
  <conditionalFormatting sqref="I22:J24">
    <cfRule type="expression" dxfId="871" priority="4">
      <formula>$O$45=TRUE</formula>
    </cfRule>
    <cfRule type="expression" dxfId="870" priority="6">
      <formula>AND(COUNTIF($I$22:$O$44,"Parc." &amp; $Z$28)&gt;0,$I22&lt;&gt;"Parc." &amp; $Z$28,$I22&lt;&gt;"")</formula>
    </cfRule>
  </conditionalFormatting>
  <conditionalFormatting sqref="K28">
    <cfRule type="expression" dxfId="869" priority="17">
      <formula>$E27&lt;&gt;""</formula>
    </cfRule>
    <cfRule type="expression" dxfId="868" priority="18">
      <formula>$E27=""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5AC5DAE3-5D06-4F2F-B8EC-5E77DF166F10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B5:S67</xm:sqref>
        </x14:conditionalFormatting>
        <x14:conditionalFormatting xmlns:xm="http://schemas.microsoft.com/office/excel/2006/main">
          <x14:cfRule type="expression" priority="2" id="{20971F81-EB72-435D-B6FE-EC6FC124B9F6}">
            <xm:f>Personalização!$D$8="Escuro"</xm:f>
            <x14:dxf>
              <font>
                <color theme="1"/>
              </font>
              <fill>
                <patternFill>
                  <bgColor rgb="FFA5AEB6"/>
                </patternFill>
              </fill>
            </x14:dxf>
          </x14:cfRule>
          <xm:sqref>L18:Q34</xm:sqref>
        </x14:conditionalFormatting>
        <x14:conditionalFormatting xmlns:xm="http://schemas.microsoft.com/office/excel/2006/main">
          <x14:cfRule type="expression" priority="1" id="{3AD9B660-0F0A-471E-8F5B-5B7E303E3530}">
            <xm:f>Personalização!$D$8="Escuro"</xm:f>
            <x14:dxf>
              <fill>
                <patternFill>
                  <bgColor rgb="FF70A8E0"/>
                </patternFill>
              </fill>
            </x14:dxf>
          </x14:cfRule>
          <xm:sqref>L16:Q17</xm:sqref>
        </x14:conditionalFormatting>
        <x14:conditionalFormatting xmlns:xm="http://schemas.microsoft.com/office/excel/2006/main">
          <x14:cfRule type="expression" priority="5" id="{54E30CEF-1FCB-47ED-8A16-1D2269E3185F}">
            <xm:f>Personalização!$D$8="Escuro"</xm:f>
            <x14:dxf>
              <font>
                <color theme="0"/>
              </font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E7E11-B8AB-4CEF-8611-A4461BB35777}">
  <sheetPr codeName="Planilha25"/>
  <dimension ref="B5:Z138"/>
  <sheetViews>
    <sheetView showGridLines="0" tabSelected="1" zoomScale="90" zoomScaleNormal="90" workbookViewId="0"/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1500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$E$22:$E$33, $D$70)</f>
        <v>0</v>
      </c>
      <c r="D17" s="21">
        <f ca="1">$D$14-$C$17</f>
        <v>1500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135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Janeiro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17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134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90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20" t="str">
        <f t="shared" ca="1" si="6"/>
        <v/>
      </c>
      <c r="F80" s="121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20" t="str">
        <f t="shared" ca="1" si="6"/>
        <v/>
      </c>
      <c r="F81" s="121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20" t="str">
        <f t="shared" ca="1" si="6"/>
        <v/>
      </c>
      <c r="F82" s="121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20" t="str">
        <f t="shared" ca="1" si="6"/>
        <v/>
      </c>
      <c r="F83" s="121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20" t="str">
        <f t="shared" ca="1" si="6"/>
        <v/>
      </c>
      <c r="F84" s="121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20" t="str">
        <f t="shared" ca="1" si="6"/>
        <v/>
      </c>
      <c r="F85" s="121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20" t="str">
        <f t="shared" ca="1" si="6"/>
        <v/>
      </c>
      <c r="F86" s="121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20" t="str">
        <f t="shared" ca="1" si="6"/>
        <v/>
      </c>
      <c r="F87" s="121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20" t="str">
        <f t="shared" ca="1" si="6"/>
        <v/>
      </c>
      <c r="F88" s="121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20" t="str">
        <f t="shared" ca="1" si="6"/>
        <v/>
      </c>
      <c r="F89" s="121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1</v>
      </c>
      <c r="O89" s="17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20" t="str">
        <f t="shared" ca="1" si="6"/>
        <v/>
      </c>
      <c r="F90" s="121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ht="15.75" x14ac:dyDescent="0.25">
      <c r="B91" s="9"/>
      <c r="C91" s="23"/>
      <c r="D91" s="24"/>
      <c r="E91" s="120"/>
      <c r="F91" s="121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ht="15.75" x14ac:dyDescent="0.25">
      <c r="B92" s="9"/>
      <c r="C92" s="23"/>
      <c r="D92" s="24"/>
      <c r="E92" s="120"/>
      <c r="F92" s="121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133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 t="s">
        <v>13</v>
      </c>
      <c r="J96" s="85" t="s">
        <v>13</v>
      </c>
      <c r="K96" s="90">
        <v>700</v>
      </c>
      <c r="L96" s="87">
        <v>1</v>
      </c>
      <c r="M96" s="88">
        <v>1</v>
      </c>
      <c r="N96" s="19">
        <f t="shared" ref="N96:N125" si="7">IFERROR(IF($M96&lt;&gt;"",$K96/$M96," "),"")</f>
        <v>700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 t="s">
        <v>130</v>
      </c>
      <c r="J97" s="85" t="s">
        <v>10</v>
      </c>
      <c r="K97" s="90">
        <v>159.97999999999999</v>
      </c>
      <c r="L97" s="87">
        <v>1</v>
      </c>
      <c r="M97" s="88">
        <v>2</v>
      </c>
      <c r="N97" s="19">
        <f t="shared" si="7"/>
        <v>79.989999999999995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 t="s">
        <v>131</v>
      </c>
      <c r="J98" s="85" t="s">
        <v>13</v>
      </c>
      <c r="K98" s="90">
        <v>261.48</v>
      </c>
      <c r="L98" s="87">
        <v>1</v>
      </c>
      <c r="M98" s="88">
        <v>1</v>
      </c>
      <c r="N98" s="19">
        <f t="shared" si="7"/>
        <v>261.48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 t="s">
        <v>132</v>
      </c>
      <c r="J99" s="85" t="s">
        <v>13</v>
      </c>
      <c r="K99" s="90">
        <v>1166.82</v>
      </c>
      <c r="L99" s="87">
        <v>1</v>
      </c>
      <c r="M99" s="88">
        <v>1</v>
      </c>
      <c r="N99" s="19">
        <f t="shared" si="7"/>
        <v>1166.82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1</v>
      </c>
      <c r="O126" s="17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 pivotTables="0"/>
  <protectedRanges>
    <protectedRange sqref="I94" name="Nome Cartão 3"/>
    <protectedRange sqref="I57" name="Nome Cartão 2"/>
    <protectedRange sqref="C40:E69" name="Débito"/>
    <protectedRange sqref="C22:F33" name="Contas Mensais"/>
    <protectedRange sqref="D14" name="ENTRADA"/>
    <protectedRange sqref="N52" name="Cartão1 Pagamento"/>
    <protectedRange sqref="I22:M51" name="Cartão1"/>
    <protectedRange sqref="I59:M88" name="Cartão2"/>
    <protectedRange sqref="N89" name="Cartão2 Pagamento"/>
    <protectedRange sqref="I96:M125" name="Cartão3"/>
    <protectedRange sqref="N126" name="Cartão3 Pagamento"/>
    <protectedRange sqref="I20" name="Nome Cartão1"/>
  </protectedRanges>
  <mergeCells count="63">
    <mergeCell ref="J126:K126"/>
    <mergeCell ref="L126:M126"/>
    <mergeCell ref="C20:F20"/>
    <mergeCell ref="I20:O20"/>
    <mergeCell ref="D34:F34"/>
    <mergeCell ref="J52:K52"/>
    <mergeCell ref="L52:M52"/>
    <mergeCell ref="I57:O57"/>
    <mergeCell ref="J89:K89"/>
    <mergeCell ref="L89:M89"/>
    <mergeCell ref="I94:O94"/>
    <mergeCell ref="E40:F40"/>
    <mergeCell ref="E39:F39"/>
    <mergeCell ref="C38:F38"/>
    <mergeCell ref="E41:F41"/>
    <mergeCell ref="E42:F42"/>
    <mergeCell ref="E43:F43"/>
    <mergeCell ref="E44:F44"/>
    <mergeCell ref="E45:F45"/>
    <mergeCell ref="E46:F46"/>
    <mergeCell ref="E47:F47"/>
    <mergeCell ref="E48:F48"/>
    <mergeCell ref="E49:F49"/>
    <mergeCell ref="E50:F50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1:F61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9:F79"/>
    <mergeCell ref="E74:F74"/>
    <mergeCell ref="E75:F75"/>
    <mergeCell ref="E76:F76"/>
    <mergeCell ref="E77:F77"/>
    <mergeCell ref="E78:F78"/>
    <mergeCell ref="E80:F80"/>
    <mergeCell ref="E81:F81"/>
    <mergeCell ref="E82:F82"/>
    <mergeCell ref="E83:F83"/>
    <mergeCell ref="E84:F84"/>
    <mergeCell ref="E90:F90"/>
    <mergeCell ref="E91:F91"/>
    <mergeCell ref="E92:F92"/>
    <mergeCell ref="E85:F85"/>
    <mergeCell ref="E86:F86"/>
    <mergeCell ref="E87:F87"/>
    <mergeCell ref="E88:F88"/>
    <mergeCell ref="E89:F89"/>
  </mergeCells>
  <phoneticPr fontId="13" type="noConversion"/>
  <conditionalFormatting sqref="C22:F33">
    <cfRule type="expression" dxfId="863" priority="64">
      <formula>$F22="Pago"</formula>
    </cfRule>
  </conditionalFormatting>
  <conditionalFormatting sqref="L52:M52">
    <cfRule type="expression" dxfId="862" priority="367">
      <formula>$N$52=TRUE</formula>
    </cfRule>
  </conditionalFormatting>
  <conditionalFormatting sqref="L89:M89">
    <cfRule type="expression" dxfId="861" priority="349">
      <formula>$N$89=TRUE</formula>
    </cfRule>
  </conditionalFormatting>
  <conditionalFormatting sqref="L126:M126">
    <cfRule type="expression" dxfId="860" priority="348">
      <formula>$N$126=TRUE</formula>
    </cfRule>
  </conditionalFormatting>
  <conditionalFormatting sqref="C74:F92">
    <cfRule type="expression" dxfId="859" priority="395">
      <formula>$E74&lt;&gt;""</formula>
    </cfRule>
    <cfRule type="expression" dxfId="858" priority="396">
      <formula>$E74=""</formula>
    </cfRule>
  </conditionalFormatting>
  <conditionalFormatting sqref="I22:N51">
    <cfRule type="expression" dxfId="857" priority="399">
      <formula>AND(COUNTIF($I$22:$N$51,"Parc." &amp; $X$31)&gt;0,$I22&lt;&gt;"Parc." &amp; $X$31,$I22&lt;&gt;"")</formula>
    </cfRule>
    <cfRule type="expression" dxfId="856" priority="400">
      <formula>$N$52=TRUE</formula>
    </cfRule>
  </conditionalFormatting>
  <conditionalFormatting sqref="I59:N88">
    <cfRule type="expression" dxfId="855" priority="421">
      <formula>$N$89=TRUE</formula>
    </cfRule>
    <cfRule type="expression" dxfId="854" priority="422">
      <formula>AND(COUNTIF($I$59:$N$88,"Parc." &amp; $X$31)&gt;0,$I59&lt;&gt;"Parc." &amp; $X$31,$I59&lt;&gt;"")</formula>
    </cfRule>
  </conditionalFormatting>
  <conditionalFormatting sqref="I96:N125">
    <cfRule type="expression" dxfId="853" priority="423">
      <formula>$N$126=TRUE</formula>
    </cfRule>
    <cfRule type="expression" dxfId="852" priority="424">
      <formula>AND(COUNTIF($I$112:$N$125,"Parc." &amp; $X$31)&gt;0,$I96&lt;&gt;"Parc." &amp; $X$31,$I96&lt;&gt;"")</formula>
    </cfRule>
  </conditionalFormatting>
  <conditionalFormatting sqref="L22:M51">
    <cfRule type="expression" dxfId="851" priority="3">
      <formula>AND($M22&gt;1, $M22=$L22)</formula>
    </cfRule>
  </conditionalFormatting>
  <conditionalFormatting sqref="L59:M88">
    <cfRule type="expression" dxfId="850" priority="2">
      <formula>AND($M59&gt;1, $M59=$L59)</formula>
    </cfRule>
  </conditionalFormatting>
  <conditionalFormatting sqref="L96:M125">
    <cfRule type="expression" dxfId="849" priority="1">
      <formula>AND($M96&gt;1, $M96=$L96)</formula>
    </cfRule>
  </conditionalFormatting>
  <dataValidations count="2">
    <dataValidation type="list" allowBlank="1" showInputMessage="1" showErrorMessage="1" sqref="F22:F33" xr:uid="{58844C6C-8CA2-463F-8FA3-C85D76359B1C}">
      <formula1>"Pago"</formula1>
    </dataValidation>
    <dataValidation type="list" allowBlank="1" showInputMessage="1" showErrorMessage="1" sqref="J59:J88 J96:J125 D40:D69 J22:J51 D22:D33" xr:uid="{14E0F276-4EC9-469F-9A4D-84C1DC810543}">
      <formula1>ListaValida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0B94D945-29F0-4C6B-9221-017D6D5B5ABD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6" id="{2CA92ABB-B4FE-4ED6-9562-A3D3174167DD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28" id="{4A560184-5593-4B25-BD9B-B970ACBEAA87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25" id="{4D392A82-4D12-431A-81D3-DB2304C17FDA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920CDD44-F098-4A0F-A908-1B6278A0252E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39" id="{8E856F14-1F4E-4DF9-AF5F-93FF3E310AA5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C74:F92</xm:sqref>
        </x14:conditionalFormatting>
        <x14:conditionalFormatting xmlns:xm="http://schemas.microsoft.com/office/excel/2006/main">
          <x14:cfRule type="expression" priority="36" id="{934F8C96-B660-4CD2-9A09-ABBBA8FED934}">
            <xm:f>Personalização!$D$8="Escuro"</xm:f>
            <x14:dxf>
              <font>
                <color theme="0"/>
              </font>
            </x14:dxf>
          </x14:cfRule>
          <x14:cfRule type="expression" priority="58" id="{FA7AB868-54ED-4C65-9572-38263E2DECCA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56" id="{9597FE97-EF98-4051-97EA-EC37C6651EFF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42" id="{5CBFCA8F-CC8F-49BA-B4C9-93D3FAE2021B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C70:D70 I57:O57 I94:O94 I126:O126 I89:O89 I52:O52</xm:sqref>
        </x14:conditionalFormatting>
        <x14:conditionalFormatting xmlns:xm="http://schemas.microsoft.com/office/excel/2006/main">
          <x14:cfRule type="expression" priority="43" id="{742B61C0-CF16-4CD2-A3A8-945F76EC127F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22" id="{6A6E8F9B-70FE-4DEB-8D8F-809F2C5049E2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O32:O52 I59:O88 I96:O125</xm:sqref>
        </x14:conditionalFormatting>
        <x14:conditionalFormatting xmlns:xm="http://schemas.microsoft.com/office/excel/2006/main">
          <x14:cfRule type="expression" priority="44" id="{CF14E6F6-BFA8-4FAE-8379-A0C010FD40D0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I94:O126 I57:O89 I20:O52</xm:sqref>
        </x14:conditionalFormatting>
        <x14:conditionalFormatting xmlns:xm="http://schemas.microsoft.com/office/excel/2006/main">
          <x14:cfRule type="expression" priority="35" id="{60FB7D9C-5C7D-40EC-B924-44AEC008AF14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11" id="{AAA85365-8304-43AF-9548-E19A62755F4F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7" id="{E27E51F1-2236-40D3-8B93-4EA12C14FDF5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14" id="{F5C6903A-27D1-40A7-B67B-6632B3C3B35E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9" id="{ED9B4349-DA7A-4C16-BB76-C1CE75D5A252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10" id="{F2E578F7-BB4D-452F-AF9C-CE42F2CB211C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5" id="{E9E6A382-4EBC-4C55-B7D5-6549009CB404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 O32:O52</xm:sqref>
        </x14:conditionalFormatting>
        <x14:conditionalFormatting xmlns:xm="http://schemas.microsoft.com/office/excel/2006/main">
          <x14:cfRule type="expression" priority="5" id="{29D92081-8497-4E57-B333-2C21D2DFC836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64E47-C8D8-4F52-93C9-1670DA852CA6}">
  <sheetPr codeName="Planilha26"/>
  <dimension ref="B5:Z138"/>
  <sheetViews>
    <sheetView showGridLines="0" zoomScale="90" zoomScaleNormal="90" workbookViewId="0">
      <selection activeCell="I96" sqref="I96:M98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1500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$E$22:$E$33, $D$70)</f>
        <v>0</v>
      </c>
      <c r="D17" s="21">
        <f ca="1">$D$14-$C$17</f>
        <v>1500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135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Fevereiro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134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86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86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86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133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86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827" priority="25">
      <formula>$F22="Pago"</formula>
    </cfRule>
  </conditionalFormatting>
  <conditionalFormatting sqref="L52:M52">
    <cfRule type="expression" dxfId="826" priority="28">
      <formula>$N$52=TRUE</formula>
    </cfRule>
  </conditionalFormatting>
  <conditionalFormatting sqref="L89:M89">
    <cfRule type="expression" dxfId="825" priority="27">
      <formula>$N$89=TRUE</formula>
    </cfRule>
  </conditionalFormatting>
  <conditionalFormatting sqref="L126:M126">
    <cfRule type="expression" dxfId="824" priority="26">
      <formula>$N$126=TRUE</formula>
    </cfRule>
  </conditionalFormatting>
  <conditionalFormatting sqref="C74:F90">
    <cfRule type="expression" dxfId="823" priority="29">
      <formula>$E74&lt;&gt;""</formula>
    </cfRule>
    <cfRule type="expression" dxfId="822" priority="30">
      <formula>$E74=""</formula>
    </cfRule>
  </conditionalFormatting>
  <conditionalFormatting sqref="I22:N51">
    <cfRule type="expression" dxfId="821" priority="31">
      <formula>AND(COUNTIF($I$22:$N$51,"Parc." &amp; $X$31)&gt;0,$I22&lt;&gt;"Parc." &amp; $X$31,$I22&lt;&gt;"")</formula>
    </cfRule>
    <cfRule type="expression" dxfId="820" priority="32">
      <formula>$N$52=TRUE</formula>
    </cfRule>
  </conditionalFormatting>
  <conditionalFormatting sqref="I59:N88">
    <cfRule type="expression" dxfId="819" priority="33">
      <formula>$N$89=TRUE</formula>
    </cfRule>
    <cfRule type="expression" dxfId="818" priority="34">
      <formula>AND(COUNTIF($I$59:$N$88,"Parc." &amp; $X$31)&gt;0,$I59&lt;&gt;"Parc." &amp; $X$31,$I59&lt;&gt;"")</formula>
    </cfRule>
  </conditionalFormatting>
  <conditionalFormatting sqref="I96:N125">
    <cfRule type="expression" dxfId="817" priority="35">
      <formula>$N$126=TRUE</formula>
    </cfRule>
    <cfRule type="expression" dxfId="816" priority="36">
      <formula>AND(COUNTIF($I$112:$N$125,"Parc." &amp; $X$31)&gt;0,$I96&lt;&gt;"Parc." &amp; $X$31,$I96&lt;&gt;"")</formula>
    </cfRule>
  </conditionalFormatting>
  <conditionalFormatting sqref="L22:M51">
    <cfRule type="expression" dxfId="815" priority="3">
      <formula>AND($M22&gt;1, $M22=$L22)</formula>
    </cfRule>
  </conditionalFormatting>
  <conditionalFormatting sqref="L59:M88">
    <cfRule type="expression" dxfId="814" priority="2">
      <formula>AND($M59&gt;1, $M59=$L59)</formula>
    </cfRule>
  </conditionalFormatting>
  <conditionalFormatting sqref="L96:M125">
    <cfRule type="expression" dxfId="813" priority="1">
      <formula>AND($M96&gt;1, $M96=$L96)</formula>
    </cfRule>
  </conditionalFormatting>
  <dataValidations disablePrompts="1" count="2">
    <dataValidation type="list" allowBlank="1" showInputMessage="1" showErrorMessage="1" sqref="J59:J88 J96:J125 D40:D69 J22:J51 D22:D33" xr:uid="{488E8F5B-1059-4856-9FCE-1CEDD7A0193D}">
      <formula1>ListaValida</formula1>
    </dataValidation>
    <dataValidation type="list" allowBlank="1" showInputMessage="1" showErrorMessage="1" sqref="F22:F33" xr:uid="{77E407F1-B660-4FF9-A59F-F08280937E9E}">
      <formula1>"Pago"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10FBFE09-2149-4805-A2DF-6E2CF13040E4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EBD0E3F0-1522-49DB-B408-BBBC37E34122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B9AC65EB-AEED-410F-AF75-CA8993BF53C0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D2D4D793-2EF9-489A-B6A7-C991E2D021A8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D0C8A94A-42C5-4BF0-AFCE-EAF9DCCC4E3A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16245CC3-D6CA-4E46-836D-1DABEB55A71E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245383B0-FAB3-4C52-8CCE-D9DC8E6D4670}">
            <xm:f>Personalização!$D$8="Escuro"</xm:f>
            <x14:dxf>
              <font>
                <color theme="0"/>
              </font>
            </x14:dxf>
          </x14:cfRule>
          <x14:cfRule type="expression" priority="24" id="{66E7C6B5-5935-472A-9DEE-A515D2C1D4AD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A6AB19FE-85B2-4295-A6B8-C9FAF82CBFD8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52BE0FBC-28D5-4E94-9217-56C71EB74F0B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77CCE836-151E-44D4-85BA-9F3E0E5346A0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D6593901-0C9E-447E-8597-B81ED65E6CC8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604A64E2-E606-4109-9B58-61C3D5E87B09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864569EA-213C-4C7D-87DF-BE6712D5A071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B857F3AB-257A-40DE-8B25-701589D652B8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4785C450-0A3E-47FB-9556-CB4BD26E9D82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34B98331-4123-44F5-B261-36E03DEA942F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763F411A-B6E1-4479-86A8-C88BB0B0A4BD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4E99ED4C-90D6-4B20-AC48-9CAD27158102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8E02A978-48A1-41A3-BC34-9566B22D86E2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D5EC501F-44B9-436A-9255-1FCB157E4D6B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F3CBE-A82F-48A9-9756-B9D5C3C72978}">
  <sheetPr codeName="Planilha27"/>
  <dimension ref="B5:Z138"/>
  <sheetViews>
    <sheetView showGridLines="0" zoomScale="90" zoomScaleNormal="90" workbookViewId="0">
      <selection activeCell="M59" sqref="I59:M62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1500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1500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Março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86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791" priority="25">
      <formula>$F22="Pago"</formula>
    </cfRule>
  </conditionalFormatting>
  <conditionalFormatting sqref="L52:M52">
    <cfRule type="expression" dxfId="790" priority="28">
      <formula>$N$52=TRUE</formula>
    </cfRule>
  </conditionalFormatting>
  <conditionalFormatting sqref="L89:M89">
    <cfRule type="expression" dxfId="789" priority="27">
      <formula>$N$89=TRUE</formula>
    </cfRule>
  </conditionalFormatting>
  <conditionalFormatting sqref="L126:M126">
    <cfRule type="expression" dxfId="788" priority="26">
      <formula>$N$126=TRUE</formula>
    </cfRule>
  </conditionalFormatting>
  <conditionalFormatting sqref="C74:F90">
    <cfRule type="expression" dxfId="787" priority="29">
      <formula>$E74&lt;&gt;""</formula>
    </cfRule>
    <cfRule type="expression" dxfId="786" priority="30">
      <formula>$E74=""</formula>
    </cfRule>
  </conditionalFormatting>
  <conditionalFormatting sqref="I22:N51">
    <cfRule type="expression" dxfId="785" priority="31">
      <formula>AND(COUNTIF($I$22:$N$51,"Parc." &amp; $X$31)&gt;0,$I22&lt;&gt;"Parc." &amp; $X$31,$I22&lt;&gt;"")</formula>
    </cfRule>
    <cfRule type="expression" dxfId="784" priority="32">
      <formula>$N$52=TRUE</formula>
    </cfRule>
  </conditionalFormatting>
  <conditionalFormatting sqref="I59:N88">
    <cfRule type="expression" dxfId="783" priority="33">
      <formula>$N$89=TRUE</formula>
    </cfRule>
    <cfRule type="expression" dxfId="782" priority="34">
      <formula>AND(COUNTIF($I$59:$N$88,"Parc." &amp; $X$31)&gt;0,$I59&lt;&gt;"Parc." &amp; $X$31,$I59&lt;&gt;"")</formula>
    </cfRule>
  </conditionalFormatting>
  <conditionalFormatting sqref="I96:N125">
    <cfRule type="expression" dxfId="781" priority="35">
      <formula>$N$126=TRUE</formula>
    </cfRule>
    <cfRule type="expression" dxfId="780" priority="36">
      <formula>AND(COUNTIF($I$112:$N$125,"Parc." &amp; $X$31)&gt;0,$I96&lt;&gt;"Parc." &amp; $X$31,$I96&lt;&gt;"")</formula>
    </cfRule>
  </conditionalFormatting>
  <conditionalFormatting sqref="L22:M51">
    <cfRule type="expression" dxfId="779" priority="3">
      <formula>AND($M22&gt;1, $M22=$L22)</formula>
    </cfRule>
  </conditionalFormatting>
  <conditionalFormatting sqref="L59:M88">
    <cfRule type="expression" dxfId="778" priority="2">
      <formula>AND($M59&gt;1, $M59=$L59)</formula>
    </cfRule>
  </conditionalFormatting>
  <conditionalFormatting sqref="L96:M125">
    <cfRule type="expression" dxfId="777" priority="1">
      <formula>AND($M96&gt;1, $M96=$L96)</formula>
    </cfRule>
  </conditionalFormatting>
  <dataValidations count="2">
    <dataValidation type="list" allowBlank="1" showInputMessage="1" showErrorMessage="1" sqref="F22:F33" xr:uid="{E8169C81-D71D-48B6-B720-E8C08B146E09}">
      <formula1>"Pago"</formula1>
    </dataValidation>
    <dataValidation type="list" allowBlank="1" showInputMessage="1" showErrorMessage="1" sqref="J59:J88 J96:J125 D40:D69 J22:J51 D22:D33" xr:uid="{9B12F6B7-CC2D-4C44-93C1-5EE4DDEBBE5F}">
      <formula1>ListaValida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87D7D888-190B-46AF-9E6B-7ECD4D4182DA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757CDC76-48E4-4728-89D6-A08BAD664446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90CEABF8-1758-4DA8-88E7-F05E7C59B60C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16A3BA71-C7F0-4976-97FC-86F42F65DD66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9381B620-216A-4A14-94C5-4239A53E53A8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945EEBC0-95A9-447E-922C-E71201FC6284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04608EAC-FD12-4914-8818-B5299613496E}">
            <xm:f>Personalização!$D$8="Escuro"</xm:f>
            <x14:dxf>
              <font>
                <color theme="0"/>
              </font>
            </x14:dxf>
          </x14:cfRule>
          <x14:cfRule type="expression" priority="24" id="{168EBACD-70C6-48DB-85AC-5DA8CBE17078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B29AFB3C-3F4E-4AF3-A747-948698C7B0BA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E96ABAE4-C735-4B7D-9F8E-4BABD26221C0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620ABEDD-A94A-405D-8199-034F813C5FB8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58FC29EB-A76E-44A9-85CD-A8E83A7C15FB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426EE7C7-A1EA-447B-97DD-CCE3A1EB14AD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A08A679B-D3B2-4A93-966D-893B7D161DDA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257C8843-05F7-44E1-A21A-A9D2D1AA714C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AD899D0B-5484-41AA-AE5B-50DB768D8037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BC2DED65-3F1C-4ACD-BA3C-7585D31394AC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D53EA957-17D4-409D-8438-DBA8A6014B61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26AF1610-0F5C-4C32-AEAF-057D2D564B7C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DD721208-0C27-40D7-A89A-AB844DA7FEA2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91131340-BB14-46A0-845B-EAC770115C96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79619-3646-437B-B87B-D8C86819BE02}">
  <sheetPr codeName="Planilha28"/>
  <dimension ref="B5:Z138"/>
  <sheetViews>
    <sheetView showGridLines="0" zoomScale="90" zoomScaleNormal="90" workbookViewId="0">
      <selection activeCell="I59" sqref="I59:M64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Abril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/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/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/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/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/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/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/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/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86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/>
      <c r="O64" s="6"/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/>
      <c r="O65" s="6"/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/>
      <c r="O66" s="6"/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/>
      <c r="O67" s="6"/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/>
      <c r="O68" s="6"/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/>
      <c r="O69" s="6"/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/>
      <c r="O70" s="6"/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/>
      <c r="O71" s="6"/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/>
      <c r="O72" s="6"/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/>
      <c r="O73" s="6"/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755" priority="25">
      <formula>$F22="Pago"</formula>
    </cfRule>
  </conditionalFormatting>
  <conditionalFormatting sqref="L52:M52">
    <cfRule type="expression" dxfId="754" priority="28">
      <formula>$N$52=TRUE</formula>
    </cfRule>
  </conditionalFormatting>
  <conditionalFormatting sqref="L89:M89">
    <cfRule type="expression" dxfId="753" priority="27">
      <formula>$N$89=TRUE</formula>
    </cfRule>
  </conditionalFormatting>
  <conditionalFormatting sqref="L126:M126">
    <cfRule type="expression" dxfId="752" priority="26">
      <formula>$N$126=TRUE</formula>
    </cfRule>
  </conditionalFormatting>
  <conditionalFormatting sqref="C74:F90">
    <cfRule type="expression" dxfId="751" priority="29">
      <formula>$E74&lt;&gt;""</formula>
    </cfRule>
    <cfRule type="expression" dxfId="750" priority="30">
      <formula>$E74=""</formula>
    </cfRule>
  </conditionalFormatting>
  <conditionalFormatting sqref="I22:N51">
    <cfRule type="expression" dxfId="749" priority="31">
      <formula>AND(COUNTIF($I$22:$N$51,"Parc." &amp; $X$31)&gt;0,$I22&lt;&gt;"Parc." &amp; $X$31,$I22&lt;&gt;"")</formula>
    </cfRule>
    <cfRule type="expression" dxfId="748" priority="32">
      <formula>$N$52=TRUE</formula>
    </cfRule>
  </conditionalFormatting>
  <conditionalFormatting sqref="I59:N88">
    <cfRule type="expression" dxfId="747" priority="33">
      <formula>$N$89=TRUE</formula>
    </cfRule>
    <cfRule type="expression" dxfId="746" priority="34">
      <formula>AND(COUNTIF($I$59:$N$88,"Parc." &amp; $X$31)&gt;0,$I59&lt;&gt;"Parc." &amp; $X$31,$I59&lt;&gt;"")</formula>
    </cfRule>
  </conditionalFormatting>
  <conditionalFormatting sqref="I96:N125">
    <cfRule type="expression" dxfId="745" priority="35">
      <formula>$N$126=TRUE</formula>
    </cfRule>
    <cfRule type="expression" dxfId="744" priority="36">
      <formula>AND(COUNTIF($I$112:$N$125,"Parc." &amp; $X$31)&gt;0,$I96&lt;&gt;"Parc." &amp; $X$31,$I96&lt;&gt;"")</formula>
    </cfRule>
  </conditionalFormatting>
  <conditionalFormatting sqref="L22:M51">
    <cfRule type="expression" dxfId="743" priority="3">
      <formula>AND($M22&gt;1, $M22=$L22)</formula>
    </cfRule>
  </conditionalFormatting>
  <conditionalFormatting sqref="L59:M88">
    <cfRule type="expression" dxfId="742" priority="2">
      <formula>AND($M59&gt;1, $M59=$L59)</formula>
    </cfRule>
  </conditionalFormatting>
  <conditionalFormatting sqref="L96:M125">
    <cfRule type="expression" dxfId="741" priority="1">
      <formula>AND($M96&gt;1, $M96=$L96)</formula>
    </cfRule>
  </conditionalFormatting>
  <dataValidations count="2">
    <dataValidation type="list" allowBlank="1" showInputMessage="1" showErrorMessage="1" sqref="J59:J88 J96:J125 D40:D69 J22:J51 D22:D33" xr:uid="{2FEC80C8-8FBE-4859-A1C5-D72147E7B9DA}">
      <formula1>ListaValida</formula1>
    </dataValidation>
    <dataValidation type="list" allowBlank="1" showInputMessage="1" showErrorMessage="1" sqref="F22:F33" xr:uid="{0895579E-8195-47FE-8E3C-165F39B3453F}">
      <formula1>"Pago"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B0217327-4BAC-4620-8EB9-9D787718F3DA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DBDCA9E5-C5EE-4EEF-827B-CCB934CCF658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8869D609-9E16-420B-8299-80519E5B95D0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8F88791A-4A21-4B38-8DC7-3811A7A30D9A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FBC157F7-66DD-44A5-846F-1CB14FFA569E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67C6398B-4DEF-4F46-B434-8E37030EA591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DDA2A355-9127-4234-99C3-199911E07009}">
            <xm:f>Personalização!$D$8="Escuro"</xm:f>
            <x14:dxf>
              <font>
                <color theme="0"/>
              </font>
            </x14:dxf>
          </x14:cfRule>
          <x14:cfRule type="expression" priority="24" id="{BAA326E9-5112-4107-B9FC-436FFDC45E37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0FA55E6D-8A69-49F7-9E64-917EB63983DD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DF5EBC6D-986F-4CE3-85D3-1E8974205C06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2031D723-7389-4F72-824C-2E022DB94874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5229FCA9-5A0E-44A7-8710-67C01CD23543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I59:O88 C17:D17 D14 I22:O51 I96:O125</xm:sqref>
        </x14:conditionalFormatting>
        <x14:conditionalFormatting xmlns:xm="http://schemas.microsoft.com/office/excel/2006/main">
          <x14:cfRule type="expression" priority="22" id="{109CB99C-1CAB-4ECC-8C1F-EDB101A5DEB1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I57:O89 C20:F34 C38 C39:E69 C70:D70 I20:O52 I94:O126</xm:sqref>
        </x14:conditionalFormatting>
        <x14:conditionalFormatting xmlns:xm="http://schemas.microsoft.com/office/excel/2006/main">
          <x14:cfRule type="expression" priority="17" id="{3E6B9321-42E3-4E2F-A600-5E0221E7F162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124C883B-8DA9-4A1E-A29D-0B91F310004E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63045E23-BAA7-484F-8F0F-4A0E533B8844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7991E9D6-DA34-4534-A0C4-1D4057BF67BB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5C3BB4B0-8263-4E25-8F88-3DA6812B79E9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0C799D22-C52A-47AC-A832-F9E419400EA2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E932261D-1735-470A-AA69-43C56D7FAB08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2E635D21-AD62-46CE-92B4-E62B9DEAFEE3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B988B-D930-4747-83EA-B694C633453B}">
  <sheetPr codeName="Planilha29"/>
  <dimension ref="B5:Z138"/>
  <sheetViews>
    <sheetView showGridLines="0" topLeftCell="A4" zoomScale="90" zoomScaleNormal="90" workbookViewId="0">
      <selection activeCell="I59" sqref="I59:M64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Maio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86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719" priority="25">
      <formula>$F22="Pago"</formula>
    </cfRule>
  </conditionalFormatting>
  <conditionalFormatting sqref="L52:M52">
    <cfRule type="expression" dxfId="718" priority="28">
      <formula>$N$52=TRUE</formula>
    </cfRule>
  </conditionalFormatting>
  <conditionalFormatting sqref="L89:M89">
    <cfRule type="expression" dxfId="717" priority="27">
      <formula>$N$89=TRUE</formula>
    </cfRule>
  </conditionalFormatting>
  <conditionalFormatting sqref="L126:M126">
    <cfRule type="expression" dxfId="716" priority="26">
      <formula>$N$126=TRUE</formula>
    </cfRule>
  </conditionalFormatting>
  <conditionalFormatting sqref="C74:F90">
    <cfRule type="expression" dxfId="715" priority="29">
      <formula>$E74&lt;&gt;""</formula>
    </cfRule>
    <cfRule type="expression" dxfId="714" priority="30">
      <formula>$E74=""</formula>
    </cfRule>
  </conditionalFormatting>
  <conditionalFormatting sqref="I22:N51">
    <cfRule type="expression" dxfId="713" priority="31">
      <formula>AND(COUNTIF($I$22:$N$51,"Parc." &amp; $X$31)&gt;0,$I22&lt;&gt;"Parc." &amp; $X$31,$I22&lt;&gt;"")</formula>
    </cfRule>
    <cfRule type="expression" dxfId="712" priority="32">
      <formula>$N$52=TRUE</formula>
    </cfRule>
  </conditionalFormatting>
  <conditionalFormatting sqref="I59:N88">
    <cfRule type="expression" dxfId="711" priority="33">
      <formula>$N$89=TRUE</formula>
    </cfRule>
    <cfRule type="expression" dxfId="710" priority="34">
      <formula>AND(COUNTIF($I$59:$N$88,"Parc." &amp; $X$31)&gt;0,$I59&lt;&gt;"Parc." &amp; $X$31,$I59&lt;&gt;"")</formula>
    </cfRule>
  </conditionalFormatting>
  <conditionalFormatting sqref="I96:N125">
    <cfRule type="expression" dxfId="709" priority="35">
      <formula>$N$126=TRUE</formula>
    </cfRule>
    <cfRule type="expression" dxfId="708" priority="36">
      <formula>AND(COUNTIF($I$112:$N$125,"Parc." &amp; $X$31)&gt;0,$I96&lt;&gt;"Parc." &amp; $X$31,$I96&lt;&gt;"")</formula>
    </cfRule>
  </conditionalFormatting>
  <conditionalFormatting sqref="L22:M51">
    <cfRule type="expression" dxfId="707" priority="3">
      <formula>AND($M22&gt;1, $M22=$L22)</formula>
    </cfRule>
  </conditionalFormatting>
  <conditionalFormatting sqref="L59:M88">
    <cfRule type="expression" dxfId="706" priority="2">
      <formula>AND($M59&gt;1, $M59=$L59)</formula>
    </cfRule>
  </conditionalFormatting>
  <conditionalFormatting sqref="L96:M125">
    <cfRule type="expression" dxfId="705" priority="1">
      <formula>AND($M96&gt;1, $M96=$L96)</formula>
    </cfRule>
  </conditionalFormatting>
  <dataValidations count="2">
    <dataValidation type="list" allowBlank="1" showInputMessage="1" showErrorMessage="1" sqref="F22:F33" xr:uid="{CDE93DAD-3366-4D00-8A9B-35C49A4DDEB0}">
      <formula1>"Pago"</formula1>
    </dataValidation>
    <dataValidation type="list" allowBlank="1" showInputMessage="1" showErrorMessage="1" sqref="J59:J88 J96:J125 D40:D69 J22:J51 D22:D33" xr:uid="{A3A3E442-011D-42E8-A248-E3AF594648DF}">
      <formula1>ListaValida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B996B27D-23E7-4A5C-A77F-C1AECD4D805A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BE6FC13F-49D1-4ABD-A1FF-6AE21F8300C5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B527A7D0-A486-45B7-879A-7F92F09C09CD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95EB40D3-A422-4742-BC35-08240DAEC820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EC4F3D95-0CDE-46A6-9346-F98809DD5971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DD021AC6-E949-4FD7-824E-47B45A0F5C77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7405BD53-7FE0-4114-9DA7-BE40FDFB7795}">
            <xm:f>Personalização!$D$8="Escuro"</xm:f>
            <x14:dxf>
              <font>
                <color theme="0"/>
              </font>
            </x14:dxf>
          </x14:cfRule>
          <x14:cfRule type="expression" priority="24" id="{BA61938F-C23C-4D13-BB1A-5E383A034FB9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EF646793-F1BD-4711-A45B-5AD75F8991CD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4A9CB302-4C57-49B2-B8CB-10C077ACFB14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9F0E3052-44A8-4BE4-BA5E-007A248B37A3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2CD47A09-2833-4F0B-8A92-A39C7A0FC7B3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53BEE808-047F-4710-BB63-ECB37FA8214D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BA470E04-8EC4-46C3-871C-681FDCBB6916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B0A87922-5CC9-438B-AF92-DC9CF092213C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C7B117B4-1B4A-42C9-A95B-78130CB34094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8A0AA93A-67CD-4193-ABF4-9769A99A4D84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94D8F03F-C3BC-4868-BBAA-F87690AA58FF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A1A1C373-2586-4EE5-822C-B192D1E4408C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8A5B952E-B083-42C6-9DD9-01141017E9FA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02C0A738-E51E-4B92-8844-E26E25B0705F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CD13F-4247-4A97-BEF0-EDC2DC5B928F}">
  <sheetPr codeName="Planilha30"/>
  <dimension ref="B5:Z138"/>
  <sheetViews>
    <sheetView showGridLines="0" zoomScale="90" zoomScaleNormal="90" workbookViewId="0">
      <selection activeCell="I59" sqref="I59:M60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Junho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86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683" priority="25">
      <formula>$F22="Pago"</formula>
    </cfRule>
  </conditionalFormatting>
  <conditionalFormatting sqref="L52:M52">
    <cfRule type="expression" dxfId="682" priority="28">
      <formula>$N$52=TRUE</formula>
    </cfRule>
  </conditionalFormatting>
  <conditionalFormatting sqref="L89:M89">
    <cfRule type="expression" dxfId="681" priority="27">
      <formula>$N$89=TRUE</formula>
    </cfRule>
  </conditionalFormatting>
  <conditionalFormatting sqref="L126:M126">
    <cfRule type="expression" dxfId="680" priority="26">
      <formula>$N$126=TRUE</formula>
    </cfRule>
  </conditionalFormatting>
  <conditionalFormatting sqref="C74:F90">
    <cfRule type="expression" dxfId="679" priority="29">
      <formula>$E74&lt;&gt;""</formula>
    </cfRule>
    <cfRule type="expression" dxfId="678" priority="30">
      <formula>$E74=""</formula>
    </cfRule>
  </conditionalFormatting>
  <conditionalFormatting sqref="I22:N51">
    <cfRule type="expression" dxfId="677" priority="31">
      <formula>AND(COUNTIF($I$22:$N$51,"Parc." &amp; $X$31)&gt;0,$I22&lt;&gt;"Parc." &amp; $X$31,$I22&lt;&gt;"")</formula>
    </cfRule>
    <cfRule type="expression" dxfId="676" priority="32">
      <formula>$N$52=TRUE</formula>
    </cfRule>
  </conditionalFormatting>
  <conditionalFormatting sqref="I59:N88">
    <cfRule type="expression" dxfId="675" priority="33">
      <formula>$N$89=TRUE</formula>
    </cfRule>
    <cfRule type="expression" dxfId="674" priority="34">
      <formula>AND(COUNTIF($I$59:$N$88,"Parc." &amp; $X$31)&gt;0,$I59&lt;&gt;"Parc." &amp; $X$31,$I59&lt;&gt;"")</formula>
    </cfRule>
  </conditionalFormatting>
  <conditionalFormatting sqref="I96:N125">
    <cfRule type="expression" dxfId="673" priority="35">
      <formula>$N$126=TRUE</formula>
    </cfRule>
    <cfRule type="expression" dxfId="672" priority="36">
      <formula>AND(COUNTIF($I$112:$N$125,"Parc." &amp; $X$31)&gt;0,$I96&lt;&gt;"Parc." &amp; $X$31,$I96&lt;&gt;"")</formula>
    </cfRule>
  </conditionalFormatting>
  <conditionalFormatting sqref="L22:M51">
    <cfRule type="expression" dxfId="671" priority="3">
      <formula>AND($M22&gt;1, $M22=$L22)</formula>
    </cfRule>
  </conditionalFormatting>
  <conditionalFormatting sqref="L59:M88">
    <cfRule type="expression" dxfId="670" priority="2">
      <formula>AND($M59&gt;1, $M59=$L59)</formula>
    </cfRule>
  </conditionalFormatting>
  <conditionalFormatting sqref="L96:M125">
    <cfRule type="expression" dxfId="669" priority="1">
      <formula>AND($M96&gt;1, $M96=$L96)</formula>
    </cfRule>
  </conditionalFormatting>
  <dataValidations count="2">
    <dataValidation type="list" allowBlank="1" showInputMessage="1" showErrorMessage="1" sqref="J59:J88 J96:J125 D40:D69 J22:J51 D22:D33" xr:uid="{2704C515-1EE8-4F89-9040-B07D1421AB47}">
      <formula1>ListaValida</formula1>
    </dataValidation>
    <dataValidation type="list" allowBlank="1" showInputMessage="1" showErrorMessage="1" sqref="F22:F33" xr:uid="{0BD0D78E-BCD2-4316-9F62-CF3E67DB1FC1}">
      <formula1>"Pago"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436B6CE3-1E6D-4FF0-AC1D-6AE00C8DC12F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7361C7E6-7238-4FDA-B0E0-D5A6886D01E3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5B759127-4CD2-495A-8FE4-E9191F09DAE6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9332D902-25E0-4EEA-B432-F6593542B25E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1AB197A6-6B2B-4C33-8ABA-D0DAF9272FBD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9742EFCE-9227-4EA4-8944-85AC03AEBBD8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D66581B9-F5D0-4B54-A127-3A184B5A40D9}">
            <xm:f>Personalização!$D$8="Escuro"</xm:f>
            <x14:dxf>
              <font>
                <color theme="0"/>
              </font>
            </x14:dxf>
          </x14:cfRule>
          <x14:cfRule type="expression" priority="24" id="{F8A44217-EE94-41F3-B6D8-37E7A82E348D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AA0F24E1-3E5C-482C-9B29-3A8337DF01AF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5394AEE0-FC21-493D-AF83-A5B612376021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A30AFF1B-B939-4A20-9A15-BC794DD19C18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2508DAB6-4E94-47F9-8A33-D5AA3D028821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C04BF733-678D-4586-9CC2-65A00801343A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FF00CBB7-B752-4E98-9C3D-9D34E63999F8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E6EAF6B0-4CDF-44D7-9394-20CF148F046C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3AA57B1A-572A-4BBC-92DC-C40C2574FA67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D69A4F7A-09D2-4DBF-BACB-C6B0259591DF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33974C5D-F543-4624-A6D1-24A8785366B0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53DDE8A9-A2D9-4157-836E-96450D7FC55A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EAC54AE2-2FA7-4409-AA2D-E1B638B3EABA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742E77FB-3FC0-440F-A496-82EDE19B0D15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88F15-D934-41A6-A118-0D664028B7E1}">
  <sheetPr codeName="Planilha31"/>
  <dimension ref="B5:Z138"/>
  <sheetViews>
    <sheetView showGridLines="0" zoomScale="90" zoomScaleNormal="90" workbookViewId="0">
      <selection activeCell="M59" sqref="I59:M61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Julho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86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647" priority="25">
      <formula>$F22="Pago"</formula>
    </cfRule>
  </conditionalFormatting>
  <conditionalFormatting sqref="L52:M52">
    <cfRule type="expression" dxfId="646" priority="28">
      <formula>$N$52=TRUE</formula>
    </cfRule>
  </conditionalFormatting>
  <conditionalFormatting sqref="L89:M89">
    <cfRule type="expression" dxfId="645" priority="27">
      <formula>$N$89=TRUE</formula>
    </cfRule>
  </conditionalFormatting>
  <conditionalFormatting sqref="L126:M126">
    <cfRule type="expression" dxfId="644" priority="26">
      <formula>$N$126=TRUE</formula>
    </cfRule>
  </conditionalFormatting>
  <conditionalFormatting sqref="C74:F90">
    <cfRule type="expression" dxfId="643" priority="29">
      <formula>$E74&lt;&gt;""</formula>
    </cfRule>
    <cfRule type="expression" dxfId="642" priority="30">
      <formula>$E74=""</formula>
    </cfRule>
  </conditionalFormatting>
  <conditionalFormatting sqref="I22:N51">
    <cfRule type="expression" dxfId="641" priority="31">
      <formula>AND(COUNTIF($I$22:$N$51,"Parc." &amp; $X$31)&gt;0,$I22&lt;&gt;"Parc." &amp; $X$31,$I22&lt;&gt;"")</formula>
    </cfRule>
    <cfRule type="expression" dxfId="640" priority="32">
      <formula>$N$52=TRUE</formula>
    </cfRule>
  </conditionalFormatting>
  <conditionalFormatting sqref="I59:N88">
    <cfRule type="expression" dxfId="639" priority="33">
      <formula>$N$89=TRUE</formula>
    </cfRule>
    <cfRule type="expression" dxfId="638" priority="34">
      <formula>AND(COUNTIF($I$59:$N$88,"Parc." &amp; $X$31)&gt;0,$I59&lt;&gt;"Parc." &amp; $X$31,$I59&lt;&gt;"")</formula>
    </cfRule>
  </conditionalFormatting>
  <conditionalFormatting sqref="I96:N125">
    <cfRule type="expression" dxfId="637" priority="35">
      <formula>$N$126=TRUE</formula>
    </cfRule>
    <cfRule type="expression" dxfId="636" priority="36">
      <formula>AND(COUNTIF($I$112:$N$125,"Parc." &amp; $X$31)&gt;0,$I96&lt;&gt;"Parc." &amp; $X$31,$I96&lt;&gt;"")</formula>
    </cfRule>
  </conditionalFormatting>
  <conditionalFormatting sqref="L22:M51">
    <cfRule type="expression" dxfId="635" priority="3">
      <formula>AND($M22&gt;1, $M22=$L22)</formula>
    </cfRule>
  </conditionalFormatting>
  <conditionalFormatting sqref="L59:M88">
    <cfRule type="expression" dxfId="634" priority="2">
      <formula>AND($M59&gt;1, $M59=$L59)</formula>
    </cfRule>
  </conditionalFormatting>
  <conditionalFormatting sqref="L96:M125">
    <cfRule type="expression" dxfId="633" priority="1">
      <formula>AND($M96&gt;1, $M96=$L96)</formula>
    </cfRule>
  </conditionalFormatting>
  <dataValidations count="2">
    <dataValidation type="list" allowBlank="1" showInputMessage="1" showErrorMessage="1" sqref="F22:F33" xr:uid="{F0EECFA0-0C6A-4C24-8B49-E46266D4C338}">
      <formula1>"Pago"</formula1>
    </dataValidation>
    <dataValidation type="list" allowBlank="1" showInputMessage="1" showErrorMessage="1" sqref="J59:J88 J96:J125 D40:D69 J22:J51 D22:D33" xr:uid="{4C0FF9B8-6A27-4D63-9DC7-D9FC7459A65A}">
      <formula1>ListaValida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B6953B99-88B6-4EF9-A278-71AAA3328E1B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F2F453FE-D67B-4B86-ABFA-CE6233D49B58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F88A919C-D3F5-49F5-AC50-863A97AE0807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2BF320D2-3A2D-4F41-A352-05A45A721BC3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D17920E9-663A-467B-96F4-EAD36202D223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F68BEEB2-8358-4015-8951-AA51B61A7851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84367ADF-494E-42AC-8EDE-0BD7C346F21B}">
            <xm:f>Personalização!$D$8="Escuro"</xm:f>
            <x14:dxf>
              <font>
                <color theme="0"/>
              </font>
            </x14:dxf>
          </x14:cfRule>
          <x14:cfRule type="expression" priority="24" id="{B46608B2-737C-4D45-81D1-12FDA57815E3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C113894E-FB53-4157-9917-33ED6F3D785D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448CDB77-EEB1-4DE7-926D-62D7AA735A80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275A20AE-8AD4-42EB-94F9-4811916B3EA9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2D40A923-7790-414C-B47A-B92560110E70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59E2C29E-4D83-4C7C-944A-1422B716881E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2BCADDA1-751F-41A3-B772-FFDA724075FB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8AB403AA-86E3-415A-9468-22D1AA567F26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E5A1CD50-1FF9-4229-A2EB-8FE806F67066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A75FCF7B-8DCD-4D3D-A889-96B58CCC1E0F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0D676E9F-FBA8-4547-874A-FA57C1D8D9AF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4FB80B79-9C80-4BDC-8B21-65513E7DAD19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F1F9271A-3B78-4E5E-BB64-18AF7C0897CD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725FCD76-E66C-4FD3-86CD-80E64CF5E9EC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3EA7E-E2F7-4609-87D7-CC4A78A88CDA}">
  <sheetPr codeName="Planilha37"/>
  <dimension ref="B5:Z138"/>
  <sheetViews>
    <sheetView showGridLines="0" zoomScale="90" zoomScaleNormal="90" workbookViewId="0">
      <selection activeCell="I59" sqref="I59:M62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Agosto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86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611" priority="25">
      <formula>$F22="Pago"</formula>
    </cfRule>
  </conditionalFormatting>
  <conditionalFormatting sqref="L52:M52">
    <cfRule type="expression" dxfId="610" priority="28">
      <formula>$N$52=TRUE</formula>
    </cfRule>
  </conditionalFormatting>
  <conditionalFormatting sqref="L89:M89">
    <cfRule type="expression" dxfId="609" priority="27">
      <formula>$N$89=TRUE</formula>
    </cfRule>
  </conditionalFormatting>
  <conditionalFormatting sqref="L126:M126">
    <cfRule type="expression" dxfId="608" priority="26">
      <formula>$N$126=TRUE</formula>
    </cfRule>
  </conditionalFormatting>
  <conditionalFormatting sqref="C74:F90">
    <cfRule type="expression" dxfId="607" priority="29">
      <formula>$E74&lt;&gt;""</formula>
    </cfRule>
    <cfRule type="expression" dxfId="606" priority="30">
      <formula>$E74=""</formula>
    </cfRule>
  </conditionalFormatting>
  <conditionalFormatting sqref="I22:N51">
    <cfRule type="expression" dxfId="605" priority="31">
      <formula>AND(COUNTIF($I$22:$N$51,"Parc." &amp; $X$31)&gt;0,$I22&lt;&gt;"Parc." &amp; $X$31,$I22&lt;&gt;"")</formula>
    </cfRule>
    <cfRule type="expression" dxfId="604" priority="32">
      <formula>$N$52=TRUE</formula>
    </cfRule>
  </conditionalFormatting>
  <conditionalFormatting sqref="I59:N88">
    <cfRule type="expression" dxfId="603" priority="33">
      <formula>$N$89=TRUE</formula>
    </cfRule>
    <cfRule type="expression" dxfId="602" priority="34">
      <formula>AND(COUNTIF($I$59:$N$88,"Parc." &amp; $X$31)&gt;0,$I59&lt;&gt;"Parc." &amp; $X$31,$I59&lt;&gt;"")</formula>
    </cfRule>
  </conditionalFormatting>
  <conditionalFormatting sqref="I96:N125">
    <cfRule type="expression" dxfId="601" priority="35">
      <formula>$N$126=TRUE</formula>
    </cfRule>
    <cfRule type="expression" dxfId="600" priority="36">
      <formula>AND(COUNTIF($I$112:$N$125,"Parc." &amp; $X$31)&gt;0,$I96&lt;&gt;"Parc." &amp; $X$31,$I96&lt;&gt;"")</formula>
    </cfRule>
  </conditionalFormatting>
  <conditionalFormatting sqref="L22:M51">
    <cfRule type="expression" dxfId="599" priority="3">
      <formula>AND($M22&gt;1, $M22=$L22)</formula>
    </cfRule>
  </conditionalFormatting>
  <conditionalFormatting sqref="L59:M88">
    <cfRule type="expression" dxfId="598" priority="2">
      <formula>AND($M59&gt;1, $M59=$L59)</formula>
    </cfRule>
  </conditionalFormatting>
  <conditionalFormatting sqref="L96:M125">
    <cfRule type="expression" dxfId="597" priority="1">
      <formula>AND($M96&gt;1, $M96=$L96)</formula>
    </cfRule>
  </conditionalFormatting>
  <dataValidations count="2">
    <dataValidation type="list" allowBlank="1" showInputMessage="1" showErrorMessage="1" sqref="J59:J88 J96:J125 D40:D69 J22:J51 D22:D33" xr:uid="{F9A9A8AC-5B78-42AD-96A2-D2064860DD41}">
      <formula1>ListaValida</formula1>
    </dataValidation>
    <dataValidation type="list" allowBlank="1" showInputMessage="1" showErrorMessage="1" sqref="F22:F33" xr:uid="{9844EE83-E095-47C0-85DC-579854792812}">
      <formula1>"Pago"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CCE4322F-C67F-47D3-88F2-7ED969C1C0B0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56D5E02F-C36A-42B0-AE20-3855469C4D14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F662293F-3BE8-41DE-8D4F-BF00003663B2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E6BEE305-7F23-46F9-8E5D-8B48869836DB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B97F834B-8F97-4202-AA5C-48C8CDBF7EBA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EE702DA4-97EB-44E6-A8C6-A053F3FB6780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65CCF123-E284-48D0-BB94-C747852B3930}">
            <xm:f>Personalização!$D$8="Escuro"</xm:f>
            <x14:dxf>
              <font>
                <color theme="0"/>
              </font>
            </x14:dxf>
          </x14:cfRule>
          <x14:cfRule type="expression" priority="24" id="{BA041BE5-F02E-4C8E-ABBB-F2D3E4E51D0F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7786F208-826A-44A8-B1A9-0A67970646E7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12DA319A-DA79-47A4-A39A-CCB4A6759D7F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3E399697-7430-4784-9CA7-24574F3CFDD4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6DE25D12-0DCF-436E-9DF6-50466A60EE0F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C56AF968-8FBD-49BC-AE1C-912A603B4F0C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7AE3B448-CF99-442C-8C58-CEA67C149635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44026C83-9801-456D-A7AC-DE9BE2D160A5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94197A8A-8E0E-4BC4-95D6-FE361E93F101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70BFB0C2-9152-4252-AAC7-A5C07741E076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8EC59172-CAFD-48CB-8265-CAD673480DFC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F88A4750-7AB6-4B8E-84E6-A49EDCBD5252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6E0600D2-CE4F-4754-82A8-85BDF9FA4D7C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84780C5A-177A-4C11-8DE8-66601438A792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F880C-D719-43D6-AAE1-0EAD66B1B165}">
  <sheetPr codeName="Planilha32"/>
  <dimension ref="B5:Z138"/>
  <sheetViews>
    <sheetView showGridLines="0" zoomScale="90" zoomScaleNormal="90" workbookViewId="0">
      <selection activeCell="I59" sqref="I59:M62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Setembro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86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575" priority="25">
      <formula>$F22="Pago"</formula>
    </cfRule>
  </conditionalFormatting>
  <conditionalFormatting sqref="L52:M52">
    <cfRule type="expression" dxfId="574" priority="28">
      <formula>$N$52=TRUE</formula>
    </cfRule>
  </conditionalFormatting>
  <conditionalFormatting sqref="L89:M89">
    <cfRule type="expression" dxfId="573" priority="27">
      <formula>$N$89=TRUE</formula>
    </cfRule>
  </conditionalFormatting>
  <conditionalFormatting sqref="L126:M126">
    <cfRule type="expression" dxfId="572" priority="26">
      <formula>$N$126=TRUE</formula>
    </cfRule>
  </conditionalFormatting>
  <conditionalFormatting sqref="C74:F90">
    <cfRule type="expression" dxfId="571" priority="29">
      <formula>$E74&lt;&gt;""</formula>
    </cfRule>
    <cfRule type="expression" dxfId="570" priority="30">
      <formula>$E74=""</formula>
    </cfRule>
  </conditionalFormatting>
  <conditionalFormatting sqref="I22:N51">
    <cfRule type="expression" dxfId="569" priority="31">
      <formula>AND(COUNTIF($I$22:$N$51,"Parc." &amp; $X$31)&gt;0,$I22&lt;&gt;"Parc." &amp; $X$31,$I22&lt;&gt;"")</formula>
    </cfRule>
    <cfRule type="expression" dxfId="568" priority="32">
      <formula>$N$52=TRUE</formula>
    </cfRule>
  </conditionalFormatting>
  <conditionalFormatting sqref="I59:N88">
    <cfRule type="expression" dxfId="567" priority="33">
      <formula>$N$89=TRUE</formula>
    </cfRule>
    <cfRule type="expression" dxfId="566" priority="34">
      <formula>AND(COUNTIF($I$59:$N$88,"Parc." &amp; $X$31)&gt;0,$I59&lt;&gt;"Parc." &amp; $X$31,$I59&lt;&gt;"")</formula>
    </cfRule>
  </conditionalFormatting>
  <conditionalFormatting sqref="I96:N125">
    <cfRule type="expression" dxfId="565" priority="35">
      <formula>$N$126=TRUE</formula>
    </cfRule>
    <cfRule type="expression" dxfId="564" priority="36">
      <formula>AND(COUNTIF($I$112:$N$125,"Parc." &amp; $X$31)&gt;0,$I96&lt;&gt;"Parc." &amp; $X$31,$I96&lt;&gt;"")</formula>
    </cfRule>
  </conditionalFormatting>
  <conditionalFormatting sqref="L22:M51">
    <cfRule type="expression" dxfId="563" priority="3">
      <formula>AND($M22&gt;1, $M22=$L22)</formula>
    </cfRule>
  </conditionalFormatting>
  <conditionalFormatting sqref="L59:M88">
    <cfRule type="expression" dxfId="562" priority="2">
      <formula>AND($M59&gt;1, $M59=$L59)</formula>
    </cfRule>
  </conditionalFormatting>
  <conditionalFormatting sqref="L96:M125">
    <cfRule type="expression" dxfId="561" priority="1">
      <formula>AND($M96&gt;1, $M96=$L96)</formula>
    </cfRule>
  </conditionalFormatting>
  <dataValidations count="2">
    <dataValidation type="list" allowBlank="1" showInputMessage="1" showErrorMessage="1" sqref="J59:J88 J96:J125 D40:D69 J22:J51 D22:D33" xr:uid="{A57DA301-3454-4CD2-A3CA-6D3E36FF925E}">
      <formula1>ListaValida</formula1>
    </dataValidation>
    <dataValidation type="list" allowBlank="1" showInputMessage="1" showErrorMessage="1" sqref="F22:F33" xr:uid="{6DE5E172-2E64-4AB4-816B-1B973FEA6182}">
      <formula1>"Pago"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70EF893F-D57D-4A10-9905-523DD0B8FBCD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56D99ACE-835B-4975-8E5B-A1313F45DB10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DF59B052-8ABE-44F3-B31A-98994D09FA94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AC81B4D5-946D-4E05-A36E-7D4DCC58A009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9051A4AB-C549-482E-B60F-A0AC61E4816C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F68572A1-C61B-4B82-BC06-37428CA08B65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E66742E5-A870-4CDE-8E75-67CF65310985}">
            <xm:f>Personalização!$D$8="Escuro"</xm:f>
            <x14:dxf>
              <font>
                <color theme="0"/>
              </font>
            </x14:dxf>
          </x14:cfRule>
          <x14:cfRule type="expression" priority="24" id="{A0E888D6-A12D-484F-8613-121220EC483A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390895D2-1531-4BCB-89B6-687358024EBD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31458150-92D4-4206-A4B1-2BCE102EB469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8FBFE06C-A380-4C2D-811D-DDE5DAFA849E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27165698-D669-47B2-8E2C-49B4663ADFF1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666AE088-CA86-45C6-96EF-67DBA8B0BE71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5406B3CC-BFAD-4CC1-9CAE-FFDD84FC9AA1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05BD1E5C-C7D7-4A15-BDC6-EA6F06B57712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26ACDE7-C03A-4132-9935-2279913CA35A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D6F51A1A-4F62-42E7-A42B-C4410EFAE371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50640C78-39B8-4F7E-8FF0-B3BE8800CF6B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E6589E70-3DA5-4D5B-AA5F-D6908706679A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57881A61-71FF-464A-A4C8-D015E098B6AE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6BEA3F52-B53E-4DA8-A374-CD58CD331A69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02336-7840-484F-B1BE-4771FB09EF21}">
  <sheetPr codeName="Planilha33"/>
  <dimension ref="B5:Z138"/>
  <sheetViews>
    <sheetView showGridLines="0" zoomScale="90" zoomScaleNormal="90" workbookViewId="0">
      <selection activeCell="I59" sqref="I59:M64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Outubro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86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539" priority="25">
      <formula>$F22="Pago"</formula>
    </cfRule>
  </conditionalFormatting>
  <conditionalFormatting sqref="L52:M52">
    <cfRule type="expression" dxfId="538" priority="28">
      <formula>$N$52=TRUE</formula>
    </cfRule>
  </conditionalFormatting>
  <conditionalFormatting sqref="L89:M89">
    <cfRule type="expression" dxfId="537" priority="27">
      <formula>$N$89=TRUE</formula>
    </cfRule>
  </conditionalFormatting>
  <conditionalFormatting sqref="L126:M126">
    <cfRule type="expression" dxfId="536" priority="26">
      <formula>$N$126=TRUE</formula>
    </cfRule>
  </conditionalFormatting>
  <conditionalFormatting sqref="C74:F90">
    <cfRule type="expression" dxfId="535" priority="29">
      <formula>$E74&lt;&gt;""</formula>
    </cfRule>
    <cfRule type="expression" dxfId="534" priority="30">
      <formula>$E74=""</formula>
    </cfRule>
  </conditionalFormatting>
  <conditionalFormatting sqref="I22:N51">
    <cfRule type="expression" dxfId="533" priority="31">
      <formula>AND(COUNTIF($I$22:$N$51,"Parc." &amp; $X$31)&gt;0,$I22&lt;&gt;"Parc." &amp; $X$31,$I22&lt;&gt;"")</formula>
    </cfRule>
    <cfRule type="expression" dxfId="532" priority="32">
      <formula>$N$52=TRUE</formula>
    </cfRule>
  </conditionalFormatting>
  <conditionalFormatting sqref="I59:N88">
    <cfRule type="expression" dxfId="531" priority="33">
      <formula>$N$89=TRUE</formula>
    </cfRule>
    <cfRule type="expression" dxfId="530" priority="34">
      <formula>AND(COUNTIF($I$59:$N$88,"Parc." &amp; $X$31)&gt;0,$I59&lt;&gt;"Parc." &amp; $X$31,$I59&lt;&gt;"")</formula>
    </cfRule>
  </conditionalFormatting>
  <conditionalFormatting sqref="I96:N125">
    <cfRule type="expression" dxfId="529" priority="35">
      <formula>$N$126=TRUE</formula>
    </cfRule>
    <cfRule type="expression" dxfId="528" priority="36">
      <formula>AND(COUNTIF($I$112:$N$125,"Parc." &amp; $X$31)&gt;0,$I96&lt;&gt;"Parc." &amp; $X$31,$I96&lt;&gt;"")</formula>
    </cfRule>
  </conditionalFormatting>
  <conditionalFormatting sqref="L22:M51">
    <cfRule type="expression" dxfId="527" priority="3">
      <formula>AND($M22&gt;1, $M22=$L22)</formula>
    </cfRule>
  </conditionalFormatting>
  <conditionalFormatting sqref="L59:M88">
    <cfRule type="expression" dxfId="526" priority="2">
      <formula>AND($M59&gt;1, $M59=$L59)</formula>
    </cfRule>
  </conditionalFormatting>
  <conditionalFormatting sqref="L96:M125">
    <cfRule type="expression" dxfId="525" priority="1">
      <formula>AND($M96&gt;1, $M96=$L96)</formula>
    </cfRule>
  </conditionalFormatting>
  <dataValidations count="2">
    <dataValidation type="list" allowBlank="1" showInputMessage="1" showErrorMessage="1" sqref="F22:F33" xr:uid="{F2CDDD19-23E1-455F-BE5A-F8EDEAC77549}">
      <formula1>"Pago"</formula1>
    </dataValidation>
    <dataValidation type="list" allowBlank="1" showInputMessage="1" showErrorMessage="1" sqref="J59:J88 J96:J125 D40:D69 J22:J51 D22:D33" xr:uid="{BA0462B0-6963-4107-86CD-F545361B043B}">
      <formula1>ListaValida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AFBBA25A-0AB4-42CE-A719-320114AF0D56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F5523790-6725-411C-BC72-A80E04741785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8A331976-7FEB-4E6A-B6B7-3EE645789EDD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E53ABAA6-3E5F-46CD-AD9A-D888060EFB22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374C03E2-469C-4511-A71E-492E5EAE4F8C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5C0FA824-2B39-43AE-AD71-753CCC8C9A88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73EB1D9A-D6B5-4A9A-91A6-5DA07E3B01D6}">
            <xm:f>Personalização!$D$8="Escuro"</xm:f>
            <x14:dxf>
              <font>
                <color theme="0"/>
              </font>
            </x14:dxf>
          </x14:cfRule>
          <x14:cfRule type="expression" priority="24" id="{5B63961D-C775-4EC9-9A9E-CB02F6385CB6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3A096994-79C4-4023-BA69-34326B456EBA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739F42F5-1F5A-4385-935B-D1A3B264BA5A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8ACB2E79-B80A-492C-9D38-10F3A3B91DDD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AB628865-C464-45C3-92EB-CB799DAE6A74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B9A57DD1-D716-43BA-8C8A-C8FC8EB86A70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CAC70F27-A2DD-4322-BD3C-4FB932358ECE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4B4955FA-F1E6-4D08-930D-EF02800A3D0D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C31C4559-94B1-4303-A23B-57D9287294FC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F75F4CDF-9FE5-4AF6-83A4-246DF9B8BB7D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566ECD03-BEAF-4C86-A504-FE87AF3C10A5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341F01E4-7D6C-41EA-A7CA-5891E37ED7AF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50F2EF05-1819-4EA5-B965-D099FC84AD92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9366BE17-9753-4D83-94D2-3B3320C2B24E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43372-C471-4ECA-93C4-33AE59859B70}">
  <sheetPr codeName="Planilha34"/>
  <dimension ref="B5:Z138"/>
  <sheetViews>
    <sheetView showGridLines="0" zoomScale="90" zoomScaleNormal="90" workbookViewId="0">
      <selection activeCell="I59" sqref="I59:M61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Novembro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86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503" priority="25">
      <formula>$F22="Pago"</formula>
    </cfRule>
  </conditionalFormatting>
  <conditionalFormatting sqref="L52:M52">
    <cfRule type="expression" dxfId="502" priority="28">
      <formula>$N$52=TRUE</formula>
    </cfRule>
  </conditionalFormatting>
  <conditionalFormatting sqref="L89:M89">
    <cfRule type="expression" dxfId="501" priority="27">
      <formula>$N$89=TRUE</formula>
    </cfRule>
  </conditionalFormatting>
  <conditionalFormatting sqref="L126:M126">
    <cfRule type="expression" dxfId="500" priority="26">
      <formula>$N$126=TRUE</formula>
    </cfRule>
  </conditionalFormatting>
  <conditionalFormatting sqref="C74:F90">
    <cfRule type="expression" dxfId="499" priority="29">
      <formula>$E74&lt;&gt;""</formula>
    </cfRule>
    <cfRule type="expression" dxfId="498" priority="30">
      <formula>$E74=""</formula>
    </cfRule>
  </conditionalFormatting>
  <conditionalFormatting sqref="I22:N51">
    <cfRule type="expression" dxfId="497" priority="31">
      <formula>AND(COUNTIF($I$22:$N$51,"Parc." &amp; $X$31)&gt;0,$I22&lt;&gt;"Parc." &amp; $X$31,$I22&lt;&gt;"")</formula>
    </cfRule>
    <cfRule type="expression" dxfId="496" priority="32">
      <formula>$N$52=TRUE</formula>
    </cfRule>
  </conditionalFormatting>
  <conditionalFormatting sqref="I59:N88">
    <cfRule type="expression" dxfId="495" priority="33">
      <formula>$N$89=TRUE</formula>
    </cfRule>
    <cfRule type="expression" dxfId="494" priority="34">
      <formula>AND(COUNTIF($I$59:$N$88,"Parc." &amp; $X$31)&gt;0,$I59&lt;&gt;"Parc." &amp; $X$31,$I59&lt;&gt;"")</formula>
    </cfRule>
  </conditionalFormatting>
  <conditionalFormatting sqref="I96:N125">
    <cfRule type="expression" dxfId="493" priority="35">
      <formula>$N$126=TRUE</formula>
    </cfRule>
    <cfRule type="expression" dxfId="492" priority="36">
      <formula>AND(COUNTIF($I$112:$N$125,"Parc." &amp; $X$31)&gt;0,$I96&lt;&gt;"Parc." &amp; $X$31,$I96&lt;&gt;"")</formula>
    </cfRule>
  </conditionalFormatting>
  <conditionalFormatting sqref="L22:M51">
    <cfRule type="expression" dxfId="491" priority="3">
      <formula>AND($M22&gt;1, $M22=$L22)</formula>
    </cfRule>
  </conditionalFormatting>
  <conditionalFormatting sqref="L59:M88">
    <cfRule type="expression" dxfId="490" priority="2">
      <formula>AND($M59&gt;1, $M59=$L59)</formula>
    </cfRule>
  </conditionalFormatting>
  <conditionalFormatting sqref="L96:M125">
    <cfRule type="expression" dxfId="489" priority="1">
      <formula>AND($M96&gt;1, $M96=$L96)</formula>
    </cfRule>
  </conditionalFormatting>
  <dataValidations count="2">
    <dataValidation type="list" allowBlank="1" showInputMessage="1" showErrorMessage="1" sqref="J59:J88 J96:J125 D40:D69 J22:J51 D22:D33" xr:uid="{119ABEDB-8782-42DA-8345-11DD3C103936}">
      <formula1>ListaValida</formula1>
    </dataValidation>
    <dataValidation type="list" allowBlank="1" showInputMessage="1" showErrorMessage="1" sqref="F22:F33" xr:uid="{5590E5EC-3268-4E79-9C57-B4B0C4DB1C63}">
      <formula1>"Pago"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4FB6F8AE-23D5-4077-9DDB-A0E35BF2FCB2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EA23ED09-1902-4507-BB97-A894D69B8A7A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79EA97C1-B75B-4B80-A21C-F13144770051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B1BF1B69-9BB9-4F7C-A849-B49D4835E0BA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90D895B5-E74C-4795-826F-D1F2B521A540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455A58C2-2667-4B5C-9D9E-BC4E732C9E4B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C987601E-0C42-4A76-9368-35782793A909}">
            <xm:f>Personalização!$D$8="Escuro"</xm:f>
            <x14:dxf>
              <font>
                <color theme="0"/>
              </font>
            </x14:dxf>
          </x14:cfRule>
          <x14:cfRule type="expression" priority="24" id="{04BF5F36-4BA7-4205-AECD-8357312DD564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1CDED3AD-159F-44AA-BC25-8B8850132B9F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5D5BFC93-5B56-4767-B5D7-49AF7D2807AB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87FAB9E6-7567-4F6F-BDF7-016B6ACD977D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2EB2A52C-EEF6-4E28-9020-19CD5593141D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0176DCCB-CA87-48C7-8AE5-946615085881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E25D8F7D-D57E-44F3-A2DC-F0E4135295E8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9BCDA4DA-ABDE-4ADC-B132-F6B42D8493D5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D911AD87-E779-4832-B6C3-CE3B87A8ED6E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E264A7ED-D8F1-49BB-A47D-8435E3DAAFA8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BB50B0EC-CDA3-44AC-A350-43D0B9AD6C17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BB2F41FB-2091-4DDC-8D68-96AC0F91898F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AA0AFF3E-A16E-4399-A3C4-5741F0631C5C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84562EA8-E107-46A0-A09E-1028CB90AFB4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E6D9C-E7A0-472F-B091-BB4FAECF6368}">
  <sheetPr codeName="Planilha35"/>
  <dimension ref="B5:Z138"/>
  <sheetViews>
    <sheetView showGridLines="0" zoomScale="90" zoomScaleNormal="90" workbookViewId="0">
      <selection activeCell="I22" sqref="I22:M26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Dezembro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90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467" priority="25">
      <formula>$F22="Pago"</formula>
    </cfRule>
  </conditionalFormatting>
  <conditionalFormatting sqref="L52:M52">
    <cfRule type="expression" dxfId="466" priority="28">
      <formula>$N$52=TRUE</formula>
    </cfRule>
  </conditionalFormatting>
  <conditionalFormatting sqref="L89:M89">
    <cfRule type="expression" dxfId="465" priority="27">
      <formula>$N$89=TRUE</formula>
    </cfRule>
  </conditionalFormatting>
  <conditionalFormatting sqref="L126:M126">
    <cfRule type="expression" dxfId="464" priority="26">
      <formula>$N$126=TRUE</formula>
    </cfRule>
  </conditionalFormatting>
  <conditionalFormatting sqref="C74:F90">
    <cfRule type="expression" dxfId="463" priority="29">
      <formula>$E74&lt;&gt;""</formula>
    </cfRule>
    <cfRule type="expression" dxfId="462" priority="30">
      <formula>$E74=""</formula>
    </cfRule>
  </conditionalFormatting>
  <conditionalFormatting sqref="I22:N51">
    <cfRule type="expression" dxfId="461" priority="31">
      <formula>AND(COUNTIF($I$22:$N$51,"Parc." &amp; $X$31)&gt;0,$I22&lt;&gt;"Parc." &amp; $X$31,$I22&lt;&gt;"")</formula>
    </cfRule>
    <cfRule type="expression" dxfId="460" priority="32">
      <formula>$N$52=TRUE</formula>
    </cfRule>
  </conditionalFormatting>
  <conditionalFormatting sqref="I59:N88">
    <cfRule type="expression" dxfId="459" priority="33">
      <formula>$N$89=TRUE</formula>
    </cfRule>
    <cfRule type="expression" dxfId="458" priority="34">
      <formula>AND(COUNTIF($I$59:$N$88,"Parc." &amp; $X$31)&gt;0,$I59&lt;&gt;"Parc." &amp; $X$31,$I59&lt;&gt;"")</formula>
    </cfRule>
  </conditionalFormatting>
  <conditionalFormatting sqref="I96:N125">
    <cfRule type="expression" dxfId="457" priority="35">
      <formula>$N$126=TRUE</formula>
    </cfRule>
    <cfRule type="expression" dxfId="456" priority="36">
      <formula>AND(COUNTIF($I$112:$N$125,"Parc." &amp; $X$31)&gt;0,$I96&lt;&gt;"Parc." &amp; $X$31,$I96&lt;&gt;"")</formula>
    </cfRule>
  </conditionalFormatting>
  <conditionalFormatting sqref="L22:M51">
    <cfRule type="expression" dxfId="455" priority="3">
      <formula>AND($M22&gt;1, $M22=$L22)</formula>
    </cfRule>
  </conditionalFormatting>
  <conditionalFormatting sqref="L59:M88">
    <cfRule type="expression" dxfId="454" priority="2">
      <formula>AND($M59&gt;1, $M59=$L59)</formula>
    </cfRule>
  </conditionalFormatting>
  <conditionalFormatting sqref="L96:M125">
    <cfRule type="expression" dxfId="453" priority="1">
      <formula>AND($M96&gt;1, $M96=$L96)</formula>
    </cfRule>
  </conditionalFormatting>
  <dataValidations count="2">
    <dataValidation type="list" allowBlank="1" showInputMessage="1" showErrorMessage="1" sqref="F22:F33" xr:uid="{442D1C9B-631C-400E-81F5-F46E01DC1581}">
      <formula1>"Pago"</formula1>
    </dataValidation>
    <dataValidation type="list" allowBlank="1" showInputMessage="1" showErrorMessage="1" sqref="J59:J88 J96:J125 D40:D69 J22:J51 D22:D33" xr:uid="{2EC758C7-A9FE-4438-AA7B-E76A4E179D80}">
      <formula1>ListaValida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F18DD8FA-DB21-47BB-95BA-C4AAF2A42CF6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D18D1F77-3C3A-410A-94A7-0614C70CC705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FF3ACC66-C3A7-4D8B-BC84-11AF1E23C315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7E739A72-95EF-4C94-86C7-0EAD58E9A8D5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AAF952AD-6CD8-4EBA-9271-D12949C2B646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A3602882-2702-4E4E-91FB-64A16468AD53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AEF1DEA3-2F5E-43F1-985A-ECAB335C7A0C}">
            <xm:f>Personalização!$D$8="Escuro"</xm:f>
            <x14:dxf>
              <font>
                <color theme="0"/>
              </font>
            </x14:dxf>
          </x14:cfRule>
          <x14:cfRule type="expression" priority="24" id="{D8B24837-A720-43D2-BBCD-674B1631E049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08D6E0B9-86F7-416B-B92E-9A1EC3C3516A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A3536122-A3A2-4271-937C-38642FFEA570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5E06A6F0-406B-4F3C-AD94-D02E462622F0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2930CDF1-8E13-4B5A-97DC-1995F545C628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4182EB5B-8157-4CB6-8F78-37539DD64574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2E0B2E19-C3EA-452E-9B59-23FB7B66854D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045D7199-16BA-4B13-8342-78831B3AC99A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40318A42-C9D3-4175-B7D2-186A703EBECF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C3AA96CB-0C81-405C-B940-86A50D46E00D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F65D71F0-33D7-41E6-A144-1609734D2F78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55417057-973F-4B83-B154-F10D6E9B704B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982BC7FF-54EE-4B7C-8210-9227CA502BAD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2EE38142-FDF4-43A3-B68B-7840495DBE6B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C7C89-B7BD-4CE1-A6B9-44212B79728D}">
  <sheetPr codeName="Planilha50"/>
  <dimension ref="B5:Z138"/>
  <sheetViews>
    <sheetView showGridLines="0" zoomScale="90" zoomScaleNormal="90" workbookViewId="0"/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105" t="s">
        <v>75</v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105" t="s">
        <v>75</v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105" t="s">
        <v>75</v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105" t="s">
        <v>75</v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105" t="s">
        <v>75</v>
      </c>
      <c r="P31" s="9"/>
      <c r="Q31" s="9"/>
      <c r="X31" s="3" t="str" cm="1">
        <f t="array" aca="1" ref="X31" ca="1">MID(CELL("nome.arquivo", A1), SEARCH("]", CELL("nome.arquivo", A1)) + 1, 31)</f>
        <v>January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105" t="s">
        <v>75</v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105" t="s">
        <v>75</v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105" t="s">
        <v>75</v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105" t="s">
        <v>75</v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105" t="s">
        <v>75</v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105" t="s">
        <v>75</v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105" t="s">
        <v>75</v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105" t="s">
        <v>75</v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105" t="s">
        <v>75</v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105" t="s">
        <v>75</v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90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431" priority="25">
      <formula>$F22="Pago"</formula>
    </cfRule>
  </conditionalFormatting>
  <conditionalFormatting sqref="L52:M52">
    <cfRule type="expression" dxfId="430" priority="28">
      <formula>$N$52=TRUE</formula>
    </cfRule>
  </conditionalFormatting>
  <conditionalFormatting sqref="L89:M89">
    <cfRule type="expression" dxfId="429" priority="27">
      <formula>$N$89=TRUE</formula>
    </cfRule>
  </conditionalFormatting>
  <conditionalFormatting sqref="L126:M126">
    <cfRule type="expression" dxfId="428" priority="26">
      <formula>$N$126=TRUE</formula>
    </cfRule>
  </conditionalFormatting>
  <conditionalFormatting sqref="C74:F90">
    <cfRule type="expression" dxfId="427" priority="29">
      <formula>$E74&lt;&gt;""</formula>
    </cfRule>
    <cfRule type="expression" dxfId="426" priority="30">
      <formula>$E74=""</formula>
    </cfRule>
  </conditionalFormatting>
  <conditionalFormatting sqref="I22:N51">
    <cfRule type="expression" dxfId="425" priority="31">
      <formula>AND(COUNTIF($I$22:$N$51,"Parc." &amp; $X$31)&gt;0,$I22&lt;&gt;"Parc." &amp; $X$31,$I22&lt;&gt;"")</formula>
    </cfRule>
    <cfRule type="expression" dxfId="424" priority="32">
      <formula>$N$52=TRUE</formula>
    </cfRule>
  </conditionalFormatting>
  <conditionalFormatting sqref="I59:N88">
    <cfRule type="expression" dxfId="423" priority="33">
      <formula>$N$89=TRUE</formula>
    </cfRule>
    <cfRule type="expression" dxfId="422" priority="34">
      <formula>AND(COUNTIF($I$59:$N$88,"Parc." &amp; $X$31)&gt;0,$I59&lt;&gt;"Parc." &amp; $X$31,$I59&lt;&gt;"")</formula>
    </cfRule>
  </conditionalFormatting>
  <conditionalFormatting sqref="I96:N125">
    <cfRule type="expression" dxfId="421" priority="35">
      <formula>$N$126=TRUE</formula>
    </cfRule>
    <cfRule type="expression" dxfId="420" priority="36">
      <formula>AND(COUNTIF($I$112:$N$125,"Parc." &amp; $X$31)&gt;0,$I96&lt;&gt;"Parc." &amp; $X$31,$I96&lt;&gt;"")</formula>
    </cfRule>
  </conditionalFormatting>
  <conditionalFormatting sqref="L22:M51">
    <cfRule type="expression" dxfId="419" priority="3">
      <formula>AND($M22&gt;1, $M22=$L22)</formula>
    </cfRule>
  </conditionalFormatting>
  <conditionalFormatting sqref="L59:M88">
    <cfRule type="expression" dxfId="418" priority="2">
      <formula>AND($M59&gt;1, $M59=$L59)</formula>
    </cfRule>
  </conditionalFormatting>
  <conditionalFormatting sqref="L96:M125">
    <cfRule type="expression" dxfId="417" priority="1">
      <formula>AND($M96&gt;1, $M96=$L96)</formula>
    </cfRule>
  </conditionalFormatting>
  <dataValidations count="2">
    <dataValidation type="list" allowBlank="1" showInputMessage="1" showErrorMessage="1" sqref="J59:J88 J96:J125 D40:D69 J22:J51 D22:D33" xr:uid="{2CBDE6D8-CEF0-4ABE-9BB9-BF72852125AC}">
      <formula1>ListaValida</formula1>
    </dataValidation>
    <dataValidation type="list" allowBlank="1" showInputMessage="1" showErrorMessage="1" sqref="F22:F33" xr:uid="{A1AF8990-CDE0-41B0-8959-8FF83CA505D0}">
      <formula1>"Pago"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94FEDBD8-269B-4892-86CE-7C0F2CDF5901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3926893F-E627-4A5A-9FAF-CBADFAD9A32E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E4D9DA6C-D067-4A9E-8C55-00AA8F6EADE6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1FD94876-665B-4141-AA04-D530397EC12C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F653CC2E-7002-4D77-B6E2-2B32D2F5B09D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54EAD912-D68B-454C-BE94-582782C09ECD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EEE4C3E6-EF42-4394-B0F5-4BE964FABC71}">
            <xm:f>Personalização!$D$8="Escuro"</xm:f>
            <x14:dxf>
              <font>
                <color theme="0"/>
              </font>
            </x14:dxf>
          </x14:cfRule>
          <x14:cfRule type="expression" priority="24" id="{DBEA198C-6E9E-41FE-A6BE-35CA9B67AFB2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3F790758-1D38-41D8-B84B-7ED97CFA6244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8D115BBA-955C-4120-A36A-7BB561651575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5110C885-A6F3-4A5E-AEF2-F9A2DCC442A3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C0DC5BFA-E503-40F1-BEFF-DD765D9CD799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CBEE4760-A869-4764-9798-3E51ECB28363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0FBC9949-D889-4E2C-80E2-8D5BD8D72A7A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A9122764-270C-4948-986E-A500598083B9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632AC228-FA50-4AA4-9365-4CDB4C394E7A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9745336E-6993-4D9D-AA38-42AC35B43A9D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5EB97B94-EC8C-4916-B0D7-ED9598BAC942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0102EA66-F7D6-44C8-93A8-3ACDF42FA9BC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D278BA5F-07FA-42DF-B235-A35851F283D2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FE35158F-A4D5-4518-BE66-446C6C6351CB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4419F-0938-4640-B00A-C34B110DF9C1}">
  <sheetPr codeName="Planilha51"/>
  <dimension ref="B5:Z138"/>
  <sheetViews>
    <sheetView showGridLines="0" zoomScale="90" zoomScaleNormal="90" workbookViewId="0">
      <selection activeCell="C18" sqref="C18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February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90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395" priority="25">
      <formula>$F22="Pago"</formula>
    </cfRule>
  </conditionalFormatting>
  <conditionalFormatting sqref="L52:M52">
    <cfRule type="expression" dxfId="394" priority="28">
      <formula>$N$52=TRUE</formula>
    </cfRule>
  </conditionalFormatting>
  <conditionalFormatting sqref="L89:M89">
    <cfRule type="expression" dxfId="393" priority="27">
      <formula>$N$89=TRUE</formula>
    </cfRule>
  </conditionalFormatting>
  <conditionalFormatting sqref="L126:M126">
    <cfRule type="expression" dxfId="392" priority="26">
      <formula>$N$126=TRUE</formula>
    </cfRule>
  </conditionalFormatting>
  <conditionalFormatting sqref="C74:F90">
    <cfRule type="expression" dxfId="391" priority="29">
      <formula>$E74&lt;&gt;""</formula>
    </cfRule>
    <cfRule type="expression" dxfId="390" priority="30">
      <formula>$E74=""</formula>
    </cfRule>
  </conditionalFormatting>
  <conditionalFormatting sqref="I22:N51">
    <cfRule type="expression" dxfId="389" priority="31">
      <formula>AND(COUNTIF($I$22:$N$51,"Parc." &amp; $X$31)&gt;0,$I22&lt;&gt;"Parc." &amp; $X$31,$I22&lt;&gt;"")</formula>
    </cfRule>
    <cfRule type="expression" dxfId="388" priority="32">
      <formula>$N$52=TRUE</formula>
    </cfRule>
  </conditionalFormatting>
  <conditionalFormatting sqref="I59:N88">
    <cfRule type="expression" dxfId="387" priority="33">
      <formula>$N$89=TRUE</formula>
    </cfRule>
    <cfRule type="expression" dxfId="386" priority="34">
      <formula>AND(COUNTIF($I$59:$N$88,"Parc." &amp; $X$31)&gt;0,$I59&lt;&gt;"Parc." &amp; $X$31,$I59&lt;&gt;"")</formula>
    </cfRule>
  </conditionalFormatting>
  <conditionalFormatting sqref="I96:N125">
    <cfRule type="expression" dxfId="385" priority="35">
      <formula>$N$126=TRUE</formula>
    </cfRule>
    <cfRule type="expression" dxfId="384" priority="36">
      <formula>AND(COUNTIF($I$112:$N$125,"Parc." &amp; $X$31)&gt;0,$I96&lt;&gt;"Parc." &amp; $X$31,$I96&lt;&gt;"")</formula>
    </cfRule>
  </conditionalFormatting>
  <conditionalFormatting sqref="L22:M51">
    <cfRule type="expression" dxfId="383" priority="3">
      <formula>AND($M22&gt;1, $M22=$L22)</formula>
    </cfRule>
  </conditionalFormatting>
  <conditionalFormatting sqref="L59:M88">
    <cfRule type="expression" dxfId="382" priority="2">
      <formula>AND($M59&gt;1, $M59=$L59)</formula>
    </cfRule>
  </conditionalFormatting>
  <conditionalFormatting sqref="L96:M125">
    <cfRule type="expression" dxfId="381" priority="1">
      <formula>AND($M96&gt;1, $M96=$L96)</formula>
    </cfRule>
  </conditionalFormatting>
  <dataValidations count="2">
    <dataValidation type="list" allowBlank="1" showInputMessage="1" showErrorMessage="1" sqref="F22:F33" xr:uid="{32129D5D-C1CC-41E1-8291-C20976683B03}">
      <formula1>"Pago"</formula1>
    </dataValidation>
    <dataValidation type="list" allowBlank="1" showInputMessage="1" showErrorMessage="1" sqref="J59:J88 J96:J125 D40:D69 J22:J51 D22:D33" xr:uid="{EBCB2B3D-BD77-45DE-BFDC-40E3A752483D}">
      <formula1>ListaValida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CA9BFC92-576A-4A97-A0F2-E85ABC45D250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B54F2415-0C6D-4A4B-B54E-96E695FA7DBE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84CC633A-8E34-49E7-B8AD-DF88BAD5CF0D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B4278B69-5168-4349-A62E-130188407BB3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03158DF5-3813-404B-84A0-74572CD23402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5D8D3A62-DB1C-468F-B41E-E8528AF76FC9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C53F7CD4-8501-4B69-ACFB-AEF1DB5522EC}">
            <xm:f>Personalização!$D$8="Escuro"</xm:f>
            <x14:dxf>
              <font>
                <color theme="0"/>
              </font>
            </x14:dxf>
          </x14:cfRule>
          <x14:cfRule type="expression" priority="24" id="{790A920D-BC4A-4F12-B4F2-B8E35A2C7A49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32216703-147B-4D5B-ADEC-B365522AB429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A1D66C40-7AB4-4376-8F18-D2D4CF42C00B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DC5CF20B-FDFD-47A6-B3BB-513069C65E41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603457AC-2005-4058-858A-FA2C9CCC24E1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E17AF606-B5A9-4BED-941B-D6726485ED26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3ED7E12C-D20F-4A08-ACE0-95B5789DBF6B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D47083CA-3F0D-4CE4-B7BD-805262B48C41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440FBB30-C9FD-49A7-984E-0F372CC0A610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90699611-7474-4F04-B45E-99BC91A7129E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A5F87749-15C6-4F66-9B42-9965008D6AD9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E40A456A-33C3-4915-B3DD-F14760A61FAE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2366EF45-0B2E-4CE8-9147-FD7F5BC8B12D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559537C8-E2F8-457C-A3F8-701709F93CFA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31921-80F9-48D3-8B38-880A3507952A}">
  <sheetPr codeName="Planilha52"/>
  <dimension ref="B5:Z138"/>
  <sheetViews>
    <sheetView showGridLines="0" zoomScale="90" zoomScaleNormal="90" workbookViewId="0">
      <selection activeCell="C18" sqref="C18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March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90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359" priority="25">
      <formula>$F22="Pago"</formula>
    </cfRule>
  </conditionalFormatting>
  <conditionalFormatting sqref="L52:M52">
    <cfRule type="expression" dxfId="358" priority="28">
      <formula>$N$52=TRUE</formula>
    </cfRule>
  </conditionalFormatting>
  <conditionalFormatting sqref="L89:M89">
    <cfRule type="expression" dxfId="357" priority="27">
      <formula>$N$89=TRUE</formula>
    </cfRule>
  </conditionalFormatting>
  <conditionalFormatting sqref="L126:M126">
    <cfRule type="expression" dxfId="356" priority="26">
      <formula>$N$126=TRUE</formula>
    </cfRule>
  </conditionalFormatting>
  <conditionalFormatting sqref="C74:F90">
    <cfRule type="expression" dxfId="355" priority="29">
      <formula>$E74&lt;&gt;""</formula>
    </cfRule>
    <cfRule type="expression" dxfId="354" priority="30">
      <formula>$E74=""</formula>
    </cfRule>
  </conditionalFormatting>
  <conditionalFormatting sqref="I22:N51">
    <cfRule type="expression" dxfId="353" priority="31">
      <formula>AND(COUNTIF($I$22:$N$51,"Parc." &amp; $X$31)&gt;0,$I22&lt;&gt;"Parc." &amp; $X$31,$I22&lt;&gt;"")</formula>
    </cfRule>
    <cfRule type="expression" dxfId="352" priority="32">
      <formula>$N$52=TRUE</formula>
    </cfRule>
  </conditionalFormatting>
  <conditionalFormatting sqref="I59:N88">
    <cfRule type="expression" dxfId="351" priority="33">
      <formula>$N$89=TRUE</formula>
    </cfRule>
    <cfRule type="expression" dxfId="350" priority="34">
      <formula>AND(COUNTIF($I$59:$N$88,"Parc." &amp; $X$31)&gt;0,$I59&lt;&gt;"Parc." &amp; $X$31,$I59&lt;&gt;"")</formula>
    </cfRule>
  </conditionalFormatting>
  <conditionalFormatting sqref="I96:N125">
    <cfRule type="expression" dxfId="349" priority="35">
      <formula>$N$126=TRUE</formula>
    </cfRule>
    <cfRule type="expression" dxfId="348" priority="36">
      <formula>AND(COUNTIF($I$112:$N$125,"Parc." &amp; $X$31)&gt;0,$I96&lt;&gt;"Parc." &amp; $X$31,$I96&lt;&gt;"")</formula>
    </cfRule>
  </conditionalFormatting>
  <conditionalFormatting sqref="L22:M51">
    <cfRule type="expression" dxfId="347" priority="3">
      <formula>AND($M22&gt;1, $M22=$L22)</formula>
    </cfRule>
  </conditionalFormatting>
  <conditionalFormatting sqref="L59:M88">
    <cfRule type="expression" dxfId="346" priority="2">
      <formula>AND($M59&gt;1, $M59=$L59)</formula>
    </cfRule>
  </conditionalFormatting>
  <conditionalFormatting sqref="L96:M125">
    <cfRule type="expression" dxfId="345" priority="1">
      <formula>AND($M96&gt;1, $M96=$L96)</formula>
    </cfRule>
  </conditionalFormatting>
  <dataValidations count="2">
    <dataValidation type="list" allowBlank="1" showInputMessage="1" showErrorMessage="1" sqref="J59:J88 J96:J125 D40:D69 J22:J51 D22:D33" xr:uid="{420A9F99-2FD5-4118-97EE-04E4B53E167C}">
      <formula1>ListaValida</formula1>
    </dataValidation>
    <dataValidation type="list" allowBlank="1" showInputMessage="1" showErrorMessage="1" sqref="F22:F33" xr:uid="{466F16E7-8B2B-47DE-A045-0B6698CD7997}">
      <formula1>"Pago"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5F9453B2-AB69-4B02-86B7-357018D1703C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6A33D230-A73F-4D25-B4F5-2F2ABFBB0917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F3691BB2-4824-4AA0-AD17-73046128A6B0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914A6CDC-45C4-42B4-8E4A-34FF93B8A95D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281D9F9F-83B3-41BA-AB46-58DC34DAA32C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A03D100B-D8EB-453D-99AE-6CB40D4F43F4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23BD412D-AB50-4624-A71F-8FB0188DA60D}">
            <xm:f>Personalização!$D$8="Escuro"</xm:f>
            <x14:dxf>
              <font>
                <color theme="0"/>
              </font>
            </x14:dxf>
          </x14:cfRule>
          <x14:cfRule type="expression" priority="24" id="{084784D1-CFDA-4422-8638-4FF53B737B68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CD0857C5-FE5F-4435-9D77-650C68CC6DBF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FC07F4F3-D837-4DE7-AED8-030FF0570F43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A1220658-F798-439E-B71A-5CB307D46ABF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83B30D0B-A323-42BF-BF73-9F7654E937C8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3ADCA38F-390A-4F17-809A-8F258ADF34AC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D557DDB1-EDD1-4341-88B6-CD7FB2DE55FC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23FECA44-F519-4E6D-8BB2-F7BB752670BE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DC2D87EB-3A21-410C-8E41-1538356DBEC6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89EDECE3-14F1-4FDD-99BE-387E85670845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AFE78A50-AE1B-4971-A52B-43AC9F5AF802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9656161C-C379-4AF3-A8D6-95ECC79EF740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E837DD41-6897-4E01-B0C6-1078D2E58AEE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81D29B16-DF68-4AF9-A345-C903678C4875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55B11-D003-4EDE-97AB-EC06E47A12A4}">
  <sheetPr codeName="Planilha53"/>
  <dimension ref="B5:Z138"/>
  <sheetViews>
    <sheetView showGridLines="0" zoomScale="90" zoomScaleNormal="90" workbookViewId="0">
      <selection activeCell="C18" sqref="C18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April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90"/>
      <c r="L59" s="87"/>
      <c r="M59" s="88"/>
      <c r="N59" s="19" t="str">
        <f>IFERROR(IF($M59&lt;&gt;"",$K59/$M59," "),"")</f>
        <v xml:space="preserve"> </v>
      </c>
      <c r="O59" s="19" t="str">
        <f>IFERROR(IF($M59&lt;&gt;"",$K59/$M59," "),"")</f>
        <v xml:space="preserve"> </v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O88" si="3">IFERROR(IF($M60&lt;&gt;"",$K60/$M60," "),"")</f>
        <v xml:space="preserve"> </v>
      </c>
      <c r="O60" s="19" t="str">
        <f t="shared" si="3"/>
        <v xml:space="preserve"> </v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19" t="str">
        <f t="shared" si="3"/>
        <v xml:space="preserve"> </v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19" t="str">
        <f t="shared" si="3"/>
        <v xml:space="preserve"> </v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19" t="str">
        <f t="shared" si="3"/>
        <v xml:space="preserve"> </v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19" t="str">
        <f t="shared" si="3"/>
        <v xml:space="preserve"> </v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19" t="str">
        <f t="shared" si="3"/>
        <v xml:space="preserve"> </v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19" t="str">
        <f t="shared" si="3"/>
        <v xml:space="preserve"> </v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19" t="str">
        <f t="shared" si="3"/>
        <v xml:space="preserve"> </v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19" t="str">
        <f t="shared" si="3"/>
        <v xml:space="preserve"> </v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19" t="str">
        <f t="shared" si="3"/>
        <v xml:space="preserve"> </v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19" t="str">
        <f t="shared" si="3"/>
        <v xml:space="preserve"> </v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19" t="str">
        <f t="shared" si="3"/>
        <v xml:space="preserve"> </v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19" t="str">
        <f t="shared" si="3"/>
        <v xml:space="preserve"> </v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19" t="str">
        <f t="shared" si="3"/>
        <v xml:space="preserve"> </v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19" t="str">
        <f t="shared" si="3"/>
        <v xml:space="preserve"> </v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19" t="str">
        <f t="shared" si="3"/>
        <v xml:space="preserve"> </v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19" t="str">
        <f t="shared" si="3"/>
        <v xml:space="preserve"> </v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19" t="str">
        <f t="shared" si="3"/>
        <v xml:space="preserve"> </v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19" t="str">
        <f t="shared" si="3"/>
        <v xml:space="preserve"> </v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19" t="str">
        <f t="shared" si="3"/>
        <v xml:space="preserve"> </v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19" t="str">
        <f t="shared" si="3"/>
        <v xml:space="preserve"> </v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19" t="str">
        <f t="shared" si="3"/>
        <v xml:space="preserve"> </v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19" t="str">
        <f t="shared" si="3"/>
        <v xml:space="preserve"> </v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19" t="str">
        <f t="shared" si="3"/>
        <v xml:space="preserve"> </v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19" t="str">
        <f t="shared" si="3"/>
        <v xml:space="preserve"> </v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19" t="str">
        <f t="shared" si="3"/>
        <v xml:space="preserve"> </v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19" t="str">
        <f t="shared" si="3"/>
        <v xml:space="preserve"> </v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19" t="str">
        <f t="shared" si="3"/>
        <v xml:space="preserve"> </v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19" t="str">
        <f t="shared" si="3"/>
        <v xml:space="preserve"> </v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323" priority="25">
      <formula>$F22="Pago"</formula>
    </cfRule>
  </conditionalFormatting>
  <conditionalFormatting sqref="L52:M52">
    <cfRule type="expression" dxfId="322" priority="28">
      <formula>$N$52=TRUE</formula>
    </cfRule>
  </conditionalFormatting>
  <conditionalFormatting sqref="L89:M89">
    <cfRule type="expression" dxfId="321" priority="27">
      <formula>$N$89=TRUE</formula>
    </cfRule>
  </conditionalFormatting>
  <conditionalFormatting sqref="L126:M126">
    <cfRule type="expression" dxfId="320" priority="26">
      <formula>$N$126=TRUE</formula>
    </cfRule>
  </conditionalFormatting>
  <conditionalFormatting sqref="C74:F90">
    <cfRule type="expression" dxfId="319" priority="29">
      <formula>$E74&lt;&gt;""</formula>
    </cfRule>
    <cfRule type="expression" dxfId="318" priority="30">
      <formula>$E74=""</formula>
    </cfRule>
  </conditionalFormatting>
  <conditionalFormatting sqref="I22:N51">
    <cfRule type="expression" dxfId="317" priority="31">
      <formula>AND(COUNTIF($I$22:$N$51,"Parc." &amp; $X$31)&gt;0,$I22&lt;&gt;"Parc." &amp; $X$31,$I22&lt;&gt;"")</formula>
    </cfRule>
    <cfRule type="expression" dxfId="316" priority="32">
      <formula>$N$52=TRUE</formula>
    </cfRule>
  </conditionalFormatting>
  <conditionalFormatting sqref="I59:O88">
    <cfRule type="expression" dxfId="315" priority="33">
      <formula>$N$89=TRUE</formula>
    </cfRule>
    <cfRule type="expression" dxfId="314" priority="34">
      <formula>AND(COUNTIF($I$59:$N$88,"Parc." &amp; $X$31)&gt;0,$I59&lt;&gt;"Parc." &amp; $X$31,$I59&lt;&gt;"")</formula>
    </cfRule>
  </conditionalFormatting>
  <conditionalFormatting sqref="I96:N125">
    <cfRule type="expression" dxfId="313" priority="35">
      <formula>$N$126=TRUE</formula>
    </cfRule>
    <cfRule type="expression" dxfId="312" priority="36">
      <formula>AND(COUNTIF($I$112:$N$125,"Parc." &amp; $X$31)&gt;0,$I96&lt;&gt;"Parc." &amp; $X$31,$I96&lt;&gt;"")</formula>
    </cfRule>
  </conditionalFormatting>
  <conditionalFormatting sqref="L22:M51">
    <cfRule type="expression" dxfId="311" priority="3">
      <formula>AND($M22&gt;1, $M22=$L22)</formula>
    </cfRule>
  </conditionalFormatting>
  <conditionalFormatting sqref="L59:M88">
    <cfRule type="expression" dxfId="310" priority="2">
      <formula>AND($M59&gt;1, $M59=$L59)</formula>
    </cfRule>
  </conditionalFormatting>
  <conditionalFormatting sqref="L96:M125">
    <cfRule type="expression" dxfId="309" priority="1">
      <formula>AND($M96&gt;1, $M96=$L96)</formula>
    </cfRule>
  </conditionalFormatting>
  <dataValidations count="2">
    <dataValidation type="list" allowBlank="1" showInputMessage="1" showErrorMessage="1" sqref="F22:F33" xr:uid="{92FCE9C1-5035-4370-AF93-219614E73277}">
      <formula1>"Pago"</formula1>
    </dataValidation>
    <dataValidation type="list" allowBlank="1" showInputMessage="1" showErrorMessage="1" sqref="J59:J88 J96:J125 D40:D69 J22:J51 D22:D33" xr:uid="{6ED0425D-8776-4486-881F-C6482F76B666}">
      <formula1>ListaValida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DDCC0070-33C4-4C29-891C-CCC2CECC0E1F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37CA5A9D-3B58-4F82-9A52-881782C9C1BD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75839BF3-DB13-4B15-8A77-78D3A9E50670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07463E2F-636E-450D-9502-73006C95E7DB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CB85585D-B1BA-4CE3-8D0C-09476BD54DD3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05F45ACF-C69F-4569-ADA3-06871A735271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F341DB18-BD5B-4011-8303-0A312C973F65}">
            <xm:f>Personalização!$D$8="Escuro"</xm:f>
            <x14:dxf>
              <font>
                <color theme="0"/>
              </font>
            </x14:dxf>
          </x14:cfRule>
          <x14:cfRule type="expression" priority="24" id="{93F6AE68-5BE0-4339-8583-745F85820DEE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46832291-8D24-49D7-93BF-3AD11E389EAB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8EDA7DB8-D631-4F9D-A6D0-679F10438F6F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E4168BE9-6A85-4B5A-B9D9-3F1E7D9C5831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18723973-A9E8-4053-802A-27F8D9FB98C7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CBDB7544-2720-4398-85F8-BDADEFA4C510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060C2A6B-9D55-4CA9-B8A2-36DF168A4B49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A6DE379F-88AA-46DE-ACDA-B7975403B975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AD00827-BBEA-4EBB-B3FD-9EC09731F9CA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I59:O88</xm:sqref>
        </x14:conditionalFormatting>
        <x14:conditionalFormatting xmlns:xm="http://schemas.microsoft.com/office/excel/2006/main">
          <x14:cfRule type="expression" priority="8" id="{1467B084-2A6E-4989-9EC4-8DCF5BAE7C75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7322CD11-B876-4582-8AD9-4FC9E8D1BECB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AB2B6A94-2870-4AF7-A878-33CC191C4D15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9DA50FCF-81AF-4E17-92A8-DA7738D6A5CA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E1FC8DC9-C3B9-4990-95BF-4F0D253233AE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A8570-BD2A-45F2-BB17-620F11083349}">
  <sheetPr codeName="Planilha54"/>
  <dimension ref="B5:Z138"/>
  <sheetViews>
    <sheetView showGridLines="0" zoomScale="90" zoomScaleNormal="90" workbookViewId="0">
      <selection activeCell="C18" sqref="C18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May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90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287" priority="25">
      <formula>$F22="Pago"</formula>
    </cfRule>
  </conditionalFormatting>
  <conditionalFormatting sqref="L52:M52">
    <cfRule type="expression" dxfId="286" priority="28">
      <formula>$N$52=TRUE</formula>
    </cfRule>
  </conditionalFormatting>
  <conditionalFormatting sqref="L89:M89">
    <cfRule type="expression" dxfId="285" priority="27">
      <formula>$N$89=TRUE</formula>
    </cfRule>
  </conditionalFormatting>
  <conditionalFormatting sqref="L126:M126">
    <cfRule type="expression" dxfId="284" priority="26">
      <formula>$N$126=TRUE</formula>
    </cfRule>
  </conditionalFormatting>
  <conditionalFormatting sqref="C74:F90">
    <cfRule type="expression" dxfId="283" priority="29">
      <formula>$E74&lt;&gt;""</formula>
    </cfRule>
    <cfRule type="expression" dxfId="282" priority="30">
      <formula>$E74=""</formula>
    </cfRule>
  </conditionalFormatting>
  <conditionalFormatting sqref="I22:N51">
    <cfRule type="expression" dxfId="281" priority="31">
      <formula>AND(COUNTIF($I$22:$N$51,"Parc." &amp; $X$31)&gt;0,$I22&lt;&gt;"Parc." &amp; $X$31,$I22&lt;&gt;"")</formula>
    </cfRule>
    <cfRule type="expression" dxfId="280" priority="32">
      <formula>$N$52=TRUE</formula>
    </cfRule>
  </conditionalFormatting>
  <conditionalFormatting sqref="I59:N88">
    <cfRule type="expression" dxfId="279" priority="33">
      <formula>$N$89=TRUE</formula>
    </cfRule>
    <cfRule type="expression" dxfId="278" priority="34">
      <formula>AND(COUNTIF($I$59:$N$88,"Parc." &amp; $X$31)&gt;0,$I59&lt;&gt;"Parc." &amp; $X$31,$I59&lt;&gt;"")</formula>
    </cfRule>
  </conditionalFormatting>
  <conditionalFormatting sqref="I96:N125">
    <cfRule type="expression" dxfId="277" priority="35">
      <formula>$N$126=TRUE</formula>
    </cfRule>
    <cfRule type="expression" dxfId="276" priority="36">
      <formula>AND(COUNTIF($I$112:$N$125,"Parc." &amp; $X$31)&gt;0,$I96&lt;&gt;"Parc." &amp; $X$31,$I96&lt;&gt;"")</formula>
    </cfRule>
  </conditionalFormatting>
  <conditionalFormatting sqref="L22:M51">
    <cfRule type="expression" dxfId="275" priority="3">
      <formula>AND($M22&gt;1, $M22=$L22)</formula>
    </cfRule>
  </conditionalFormatting>
  <conditionalFormatting sqref="L59:M88">
    <cfRule type="expression" dxfId="274" priority="2">
      <formula>AND($M59&gt;1, $M59=$L59)</formula>
    </cfRule>
  </conditionalFormatting>
  <conditionalFormatting sqref="L96:M125">
    <cfRule type="expression" dxfId="273" priority="1">
      <formula>AND($M96&gt;1, $M96=$L96)</formula>
    </cfRule>
  </conditionalFormatting>
  <dataValidations count="2">
    <dataValidation type="list" allowBlank="1" showInputMessage="1" showErrorMessage="1" sqref="J59:J88 J96:J125 D40:D69 J22:J51 D22:D33" xr:uid="{EA802F26-3E3C-4C82-973D-C68032C52320}">
      <formula1>ListaValida</formula1>
    </dataValidation>
    <dataValidation type="list" allowBlank="1" showInputMessage="1" showErrorMessage="1" sqref="F22:F33" xr:uid="{F3FC17E0-EBA3-4173-9568-9C531E7E5642}">
      <formula1>"Pago"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AD5C8108-5839-4592-BF91-051AFFB3D617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B49E8FBF-607A-44F2-9172-C8CAF2E567A4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4CE767B4-F183-4C92-A58D-E279BFBA4FC4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6F56DC5A-4475-40CD-8A47-DC156604878D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10E6F17C-D279-4F09-A688-499D765716A5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593D95FF-AE02-4F25-8F23-FB366C66B16C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A452854E-8BF8-4B3B-B54D-A70965AEF201}">
            <xm:f>Personalização!$D$8="Escuro"</xm:f>
            <x14:dxf>
              <font>
                <color theme="0"/>
              </font>
            </x14:dxf>
          </x14:cfRule>
          <x14:cfRule type="expression" priority="24" id="{BA2704C4-B4BB-478E-B11E-D10BBA294E1B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130A70BD-2C95-4537-ACCB-4F18BC7E8D79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67984E2E-A1E1-4F8B-AFC4-779F2FA06740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F4855E0B-6114-4E59-B159-D864BA130136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E48596E6-961E-410A-8FA4-68D6022BD454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4F137EAA-1283-4B45-95A5-8B8D2FAA8A79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977B1ADA-46B0-4AE3-9E08-FBEEAF0AF848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5221859A-CD6A-47FA-AB7A-4BC90C1CC8A5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AD3D0A14-6D85-4418-8B7E-F40097B2B2EE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EE6632C4-F9E9-4133-A962-8E84C4B90B04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10B1F109-86E2-45DC-A0AD-CC01BEDC18CA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C5A0CAC5-9A75-457D-8828-B24569C91D99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27A1AB40-84F2-4FED-9B0B-1608215DE7C5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B0459CF9-B530-43A7-90B8-302D6EC2CB78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5842D-FDE4-465E-BBFC-4F3124F1752E}">
  <sheetPr codeName="Planilha55"/>
  <dimension ref="B5:Z138"/>
  <sheetViews>
    <sheetView showGridLines="0" zoomScale="90" zoomScaleNormal="90" workbookViewId="0">
      <selection activeCell="C18" sqref="C18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June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90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251" priority="25">
      <formula>$F22="Pago"</formula>
    </cfRule>
  </conditionalFormatting>
  <conditionalFormatting sqref="L52:M52">
    <cfRule type="expression" dxfId="250" priority="28">
      <formula>$N$52=TRUE</formula>
    </cfRule>
  </conditionalFormatting>
  <conditionalFormatting sqref="L89:M89">
    <cfRule type="expression" dxfId="249" priority="27">
      <formula>$N$89=TRUE</formula>
    </cfRule>
  </conditionalFormatting>
  <conditionalFormatting sqref="L126:M126">
    <cfRule type="expression" dxfId="248" priority="26">
      <formula>$N$126=TRUE</formula>
    </cfRule>
  </conditionalFormatting>
  <conditionalFormatting sqref="C74:F90">
    <cfRule type="expression" dxfId="247" priority="29">
      <formula>$E74&lt;&gt;""</formula>
    </cfRule>
    <cfRule type="expression" dxfId="246" priority="30">
      <formula>$E74=""</formula>
    </cfRule>
  </conditionalFormatting>
  <conditionalFormatting sqref="I22:N51">
    <cfRule type="expression" dxfId="245" priority="31">
      <formula>AND(COUNTIF($I$22:$N$51,"Parc." &amp; $X$31)&gt;0,$I22&lt;&gt;"Parc." &amp; $X$31,$I22&lt;&gt;"")</formula>
    </cfRule>
    <cfRule type="expression" dxfId="244" priority="32">
      <formula>$N$52=TRUE</formula>
    </cfRule>
  </conditionalFormatting>
  <conditionalFormatting sqref="I59:N88">
    <cfRule type="expression" dxfId="243" priority="33">
      <formula>$N$89=TRUE</formula>
    </cfRule>
    <cfRule type="expression" dxfId="242" priority="34">
      <formula>AND(COUNTIF($I$59:$N$88,"Parc." &amp; $X$31)&gt;0,$I59&lt;&gt;"Parc." &amp; $X$31,$I59&lt;&gt;"")</formula>
    </cfRule>
  </conditionalFormatting>
  <conditionalFormatting sqref="I96:N125">
    <cfRule type="expression" dxfId="241" priority="35">
      <formula>$N$126=TRUE</formula>
    </cfRule>
    <cfRule type="expression" dxfId="240" priority="36">
      <formula>AND(COUNTIF($I$112:$N$125,"Parc." &amp; $X$31)&gt;0,$I96&lt;&gt;"Parc." &amp; $X$31,$I96&lt;&gt;"")</formula>
    </cfRule>
  </conditionalFormatting>
  <conditionalFormatting sqref="L22:M51">
    <cfRule type="expression" dxfId="239" priority="3">
      <formula>AND($M22&gt;1, $M22=$L22)</formula>
    </cfRule>
  </conditionalFormatting>
  <conditionalFormatting sqref="L59:M88">
    <cfRule type="expression" dxfId="238" priority="2">
      <formula>AND($M59&gt;1, $M59=$L59)</formula>
    </cfRule>
  </conditionalFormatting>
  <conditionalFormatting sqref="L96:M125">
    <cfRule type="expression" dxfId="237" priority="1">
      <formula>AND($M96&gt;1, $M96=$L96)</formula>
    </cfRule>
  </conditionalFormatting>
  <dataValidations count="2">
    <dataValidation type="list" allowBlank="1" showInputMessage="1" showErrorMessage="1" sqref="F22:F33" xr:uid="{AC3F2169-EA76-4356-B8A9-B559D5950307}">
      <formula1>"Pago"</formula1>
    </dataValidation>
    <dataValidation type="list" allowBlank="1" showInputMessage="1" showErrorMessage="1" sqref="J59:J88 J96:J125 D40:D69 J22:J51 D22:D33" xr:uid="{E0954516-9CCE-4A3B-9399-BFCFB88D4FDF}">
      <formula1>ListaValida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1FAC3419-F334-4790-AF93-D614119EB698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D92D3F55-9E1C-4C36-A8FB-0BC2AEB16781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FEA870C5-E3BA-4D8F-8D56-034A7278A1F0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E2065BC3-D144-4235-953E-F46F3F38360D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A61972AF-103C-4519-AD9A-B673C63C7C5F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EEB97F6A-DF08-4516-9291-7DF7E501A6C7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3AA9E3FA-5DE5-4C06-A181-8A4EEAF0385B}">
            <xm:f>Personalização!$D$8="Escuro"</xm:f>
            <x14:dxf>
              <font>
                <color theme="0"/>
              </font>
            </x14:dxf>
          </x14:cfRule>
          <x14:cfRule type="expression" priority="24" id="{A327E576-0E6D-4AB3-80F6-EA2619A8FFB1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7AF33EE3-322D-4F81-A3DD-689B6DB10363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D546EE27-8D7E-4313-A2C6-9AECBA819FC7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CB92598C-5970-4465-996B-61FB251CF01A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DD31CAFB-D408-40D0-91D1-A16A3CA512B1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78A229FD-3640-45C6-A21B-E287CF3C56FA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78213B65-59D7-4C42-A342-326E7E2033CA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C166CF5C-B93C-41DB-9AA9-943078360530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C7C861B2-FA53-4CCE-A9B0-1FEBB353C5C0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751FBFAE-965D-4774-8512-859513B8BD39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9883075F-99C4-4793-BCD4-F7D9B9CDA679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6DBB95E1-F4E5-4225-8B37-41E0B98E4B2E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3135677B-341E-4D3C-BED9-9C77829C1E9A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2DE6BEE6-1F77-4684-8F1D-981515D7D0D8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934C1-17BA-4C27-92ED-7701B705634C}">
  <sheetPr codeName="Planilha56"/>
  <dimension ref="B5:Z138"/>
  <sheetViews>
    <sheetView showGridLines="0" zoomScale="90" zoomScaleNormal="90" workbookViewId="0">
      <selection activeCell="C18" sqref="C18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July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90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C40:E69" name="Débito"/>
    <protectedRange sqref="C22:F33" name="Contas Mensais"/>
    <protectedRange sqref="D14" name="ENTRADA"/>
    <protectedRange sqref="N52" name="Cartão1 Pagamento"/>
    <protectedRange sqref="I22:M51" name="Cartão1"/>
    <protectedRange sqref="I59:M88" name="Cartão2"/>
    <protectedRange sqref="N89" name="Cartão2 Pagamento"/>
    <protectedRange sqref="I96:M125" name="Cartão3"/>
    <protectedRange sqref="N126" name="Cartão3 Pagamen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215" priority="25">
      <formula>$F22="Pago"</formula>
    </cfRule>
  </conditionalFormatting>
  <conditionalFormatting sqref="L52:M52">
    <cfRule type="expression" dxfId="214" priority="28">
      <formula>$N$52=TRUE</formula>
    </cfRule>
  </conditionalFormatting>
  <conditionalFormatting sqref="L89:M89">
    <cfRule type="expression" dxfId="213" priority="27">
      <formula>$N$89=TRUE</formula>
    </cfRule>
  </conditionalFormatting>
  <conditionalFormatting sqref="L126:M126">
    <cfRule type="expression" dxfId="212" priority="26">
      <formula>$N$126=TRUE</formula>
    </cfRule>
  </conditionalFormatting>
  <conditionalFormatting sqref="C74:F90">
    <cfRule type="expression" dxfId="211" priority="29">
      <formula>$E74&lt;&gt;""</formula>
    </cfRule>
    <cfRule type="expression" dxfId="210" priority="30">
      <formula>$E74=""</formula>
    </cfRule>
  </conditionalFormatting>
  <conditionalFormatting sqref="I22:N51">
    <cfRule type="expression" dxfId="209" priority="31">
      <formula>AND(COUNTIF($I$22:$N$51,"Parc." &amp; $X$31)&gt;0,$I22&lt;&gt;"Parc." &amp; $X$31,$I22&lt;&gt;"")</formula>
    </cfRule>
    <cfRule type="expression" dxfId="208" priority="32">
      <formula>$N$52=TRUE</formula>
    </cfRule>
  </conditionalFormatting>
  <conditionalFormatting sqref="I59:N88">
    <cfRule type="expression" dxfId="207" priority="33">
      <formula>$N$89=TRUE</formula>
    </cfRule>
    <cfRule type="expression" dxfId="206" priority="34">
      <formula>AND(COUNTIF($I$59:$N$88,"Parc." &amp; $X$31)&gt;0,$I59&lt;&gt;"Parc." &amp; $X$31,$I59&lt;&gt;"")</formula>
    </cfRule>
  </conditionalFormatting>
  <conditionalFormatting sqref="I96:N125">
    <cfRule type="expression" dxfId="205" priority="35">
      <formula>$N$126=TRUE</formula>
    </cfRule>
    <cfRule type="expression" dxfId="204" priority="36">
      <formula>AND(COUNTIF($I$112:$N$125,"Parc." &amp; $X$31)&gt;0,$I96&lt;&gt;"Parc." &amp; $X$31,$I96&lt;&gt;"")</formula>
    </cfRule>
  </conditionalFormatting>
  <conditionalFormatting sqref="L22:M51">
    <cfRule type="expression" dxfId="203" priority="3">
      <formula>AND($M22&gt;1, $M22=$L22)</formula>
    </cfRule>
  </conditionalFormatting>
  <conditionalFormatting sqref="L59:M88">
    <cfRule type="expression" dxfId="202" priority="2">
      <formula>AND($M59&gt;1, $M59=$L59)</formula>
    </cfRule>
  </conditionalFormatting>
  <conditionalFormatting sqref="L96:M125">
    <cfRule type="expression" dxfId="201" priority="1">
      <formula>AND($M96&gt;1, $M96=$L96)</formula>
    </cfRule>
  </conditionalFormatting>
  <dataValidations count="2">
    <dataValidation type="list" allowBlank="1" showInputMessage="1" showErrorMessage="1" sqref="J59:J88 J96:J125 D40:D69 J22:J51 D22:D33" xr:uid="{42BDD3A2-022E-43F8-BCBB-52A55A1153AC}">
      <formula1>ListaValida</formula1>
    </dataValidation>
    <dataValidation type="list" allowBlank="1" showInputMessage="1" showErrorMessage="1" sqref="F22:F33" xr:uid="{6CBE6D10-8104-4673-A135-8A00E2234EFE}">
      <formula1>"Pago"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4C3CA248-1968-4131-A24F-6FD950D34F44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B2F3E913-327C-4256-B0A2-EFA7E9FECE03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8DB8BB19-E478-4328-B86C-1964CA82DDCD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6E2C3A40-BE94-4928-9DC1-B2EEAA649371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F93430B0-5DC6-4CFF-AB3C-5F6CE3410ED6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01C75A40-3B5D-4832-8586-2E62B110C563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0B4DA146-7702-4C79-A763-00942C492459}">
            <xm:f>Personalização!$D$8="Escuro"</xm:f>
            <x14:dxf>
              <font>
                <color theme="0"/>
              </font>
            </x14:dxf>
          </x14:cfRule>
          <x14:cfRule type="expression" priority="24" id="{F0805D26-1B12-49D9-B3BC-0B923E90A2B0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9AB4FBD3-41C9-4F05-B11A-0AF03B83287C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80DEE648-0A1C-4DD4-B614-9DBE1F7AB470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008D37AD-EB88-4473-9BB1-6D84619FE9CE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35CFA740-DEAB-460A-81AD-CF632C46322A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08CFB4DE-D43D-4CCA-967F-FD3DE813555F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2BA7C04A-E548-43F9-B3F7-C2029F3FB487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BD2FB494-426D-4037-B0DF-85959CB81932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F111E1FC-0932-4858-AB78-236950657B51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7550C763-C9F2-4F13-99E2-3468CC73DC98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0B68E667-E374-4781-AC78-67E8A8CA7096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926F9BF6-CB6E-4050-815A-389D136EC3B8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968B3940-CBC2-4345-ADFA-0CB4C86D89D2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C4259D3B-CE1C-45AC-902F-442A1DCF1C58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C8B2B-8D24-4157-B599-C43AF06F75F0}">
  <sheetPr codeName="Planilha57"/>
  <dimension ref="B5:Z138"/>
  <sheetViews>
    <sheetView showGridLines="0" zoomScale="90" zoomScaleNormal="90" workbookViewId="0">
      <selection activeCell="C18" sqref="C18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August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90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179" priority="25">
      <formula>$F22="Pago"</formula>
    </cfRule>
  </conditionalFormatting>
  <conditionalFormatting sqref="L52:M52">
    <cfRule type="expression" dxfId="178" priority="28">
      <formula>$N$52=TRUE</formula>
    </cfRule>
  </conditionalFormatting>
  <conditionalFormatting sqref="L89:M89">
    <cfRule type="expression" dxfId="177" priority="27">
      <formula>$N$89=TRUE</formula>
    </cfRule>
  </conditionalFormatting>
  <conditionalFormatting sqref="L126:M126">
    <cfRule type="expression" dxfId="176" priority="26">
      <formula>$N$126=TRUE</formula>
    </cfRule>
  </conditionalFormatting>
  <conditionalFormatting sqref="C74:F90">
    <cfRule type="expression" dxfId="175" priority="29">
      <formula>$E74&lt;&gt;""</formula>
    </cfRule>
    <cfRule type="expression" dxfId="174" priority="30">
      <formula>$E74=""</formula>
    </cfRule>
  </conditionalFormatting>
  <conditionalFormatting sqref="I22:N51">
    <cfRule type="expression" dxfId="173" priority="31">
      <formula>AND(COUNTIF($I$22:$N$51,"Parc." &amp; $X$31)&gt;0,$I22&lt;&gt;"Parc." &amp; $X$31,$I22&lt;&gt;"")</formula>
    </cfRule>
    <cfRule type="expression" dxfId="172" priority="32">
      <formula>$N$52=TRUE</formula>
    </cfRule>
  </conditionalFormatting>
  <conditionalFormatting sqref="I59:N88">
    <cfRule type="expression" dxfId="171" priority="33">
      <formula>$N$89=TRUE</formula>
    </cfRule>
    <cfRule type="expression" dxfId="170" priority="34">
      <formula>AND(COUNTIF($I$59:$N$88,"Parc." &amp; $X$31)&gt;0,$I59&lt;&gt;"Parc." &amp; $X$31,$I59&lt;&gt;"")</formula>
    </cfRule>
  </conditionalFormatting>
  <conditionalFormatting sqref="I96:N125">
    <cfRule type="expression" dxfId="169" priority="35">
      <formula>$N$126=TRUE</formula>
    </cfRule>
    <cfRule type="expression" dxfId="168" priority="36">
      <formula>AND(COUNTIF($I$112:$N$125,"Parc." &amp; $X$31)&gt;0,$I96&lt;&gt;"Parc." &amp; $X$31,$I96&lt;&gt;"")</formula>
    </cfRule>
  </conditionalFormatting>
  <conditionalFormatting sqref="L22:M51">
    <cfRule type="expression" dxfId="167" priority="3">
      <formula>AND($M22&gt;1, $M22=$L22)</formula>
    </cfRule>
  </conditionalFormatting>
  <conditionalFormatting sqref="L59:M88">
    <cfRule type="expression" dxfId="166" priority="2">
      <formula>AND($M59&gt;1, $M59=$L59)</formula>
    </cfRule>
  </conditionalFormatting>
  <conditionalFormatting sqref="L96:M125">
    <cfRule type="expression" dxfId="165" priority="1">
      <formula>AND($M96&gt;1, $M96=$L96)</formula>
    </cfRule>
  </conditionalFormatting>
  <dataValidations count="2">
    <dataValidation type="list" allowBlank="1" showInputMessage="1" showErrorMessage="1" sqref="F22:F33" xr:uid="{03BFCFAE-8E42-43E4-8541-029A01067B08}">
      <formula1>"Pago"</formula1>
    </dataValidation>
    <dataValidation type="list" allowBlank="1" showInputMessage="1" showErrorMessage="1" sqref="J59:J88 J96:J125 D40:D69 J22:J51 D22:D33" xr:uid="{19AF9A21-F43A-4A25-9643-D193457D9B20}">
      <formula1>ListaValida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A5279BF1-447F-4DF6-B12B-A243C8F70AA4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BEDBCD60-ECF4-4087-A422-63F004A622AA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59247794-566E-4BDA-BCC5-41A0630A54A9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F4B717B1-D9EE-43C0-92CE-FCB693B10EC3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DF807572-C028-488F-8977-8F116178B94E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90D95324-4044-41D5-A265-B347A53B188F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17E006DC-8E58-4E57-BBB2-25BF3F18900D}">
            <xm:f>Personalização!$D$8="Escuro"</xm:f>
            <x14:dxf>
              <font>
                <color theme="0"/>
              </font>
            </x14:dxf>
          </x14:cfRule>
          <x14:cfRule type="expression" priority="24" id="{B8529171-A6C9-4CFC-AC20-42EA62E6F16C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62BBCEE9-4773-448F-8D6F-B209ADA04673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FDD45944-499C-41F0-957C-89443BDAB52B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79106265-D85F-4A0A-A832-17F5FDE72821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F6CA7C23-B538-4FE1-87DF-0AF5ABB1A660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1EAEAC75-68D3-459B-825E-290C27926F65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6841FF90-EDD3-4414-A658-BB8AB152A8BE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404F4DEB-E5E5-4D7E-A611-E5172684A1C6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EDBFF848-8B4F-4BC9-AE2D-93EF6B8CEE90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88803ECF-F2FB-43A2-9E98-53ED53F96859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B094A62B-7A37-471E-9EC3-14DE5CDA9EA5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A7BEE6D2-D05D-44AA-87E5-ECD4ABAD2AB8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74F5E5DC-DB12-4FB8-BAE0-E3C6C884CBEC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688BE730-9211-4A78-B8E5-7742FCE4EF58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9CDA7-D4F5-4FF0-BBE2-8F6CE3CFD409}">
  <sheetPr codeName="Planilha58"/>
  <dimension ref="B5:Z138"/>
  <sheetViews>
    <sheetView showGridLines="0" zoomScale="90" zoomScaleNormal="90" workbookViewId="0">
      <selection activeCell="C18" sqref="C18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September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90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143" priority="25">
      <formula>$F22="Pago"</formula>
    </cfRule>
  </conditionalFormatting>
  <conditionalFormatting sqref="L52:M52">
    <cfRule type="expression" dxfId="142" priority="28">
      <formula>$N$52=TRUE</formula>
    </cfRule>
  </conditionalFormatting>
  <conditionalFormatting sqref="L89:M89">
    <cfRule type="expression" dxfId="141" priority="27">
      <formula>$N$89=TRUE</formula>
    </cfRule>
  </conditionalFormatting>
  <conditionalFormatting sqref="L126:M126">
    <cfRule type="expression" dxfId="140" priority="26">
      <formula>$N$126=TRUE</formula>
    </cfRule>
  </conditionalFormatting>
  <conditionalFormatting sqref="C74:F90">
    <cfRule type="expression" dxfId="139" priority="29">
      <formula>$E74&lt;&gt;""</formula>
    </cfRule>
    <cfRule type="expression" dxfId="138" priority="30">
      <formula>$E74=""</formula>
    </cfRule>
  </conditionalFormatting>
  <conditionalFormatting sqref="I22:N51">
    <cfRule type="expression" dxfId="137" priority="31">
      <formula>AND(COUNTIF($I$22:$N$51,"Parc." &amp; $X$31)&gt;0,$I22&lt;&gt;"Parc." &amp; $X$31,$I22&lt;&gt;"")</formula>
    </cfRule>
    <cfRule type="expression" dxfId="136" priority="32">
      <formula>$N$52=TRUE</formula>
    </cfRule>
  </conditionalFormatting>
  <conditionalFormatting sqref="I59:N88">
    <cfRule type="expression" dxfId="135" priority="33">
      <formula>$N$89=TRUE</formula>
    </cfRule>
    <cfRule type="expression" dxfId="134" priority="34">
      <formula>AND(COUNTIF($I$59:$N$88,"Parc." &amp; $X$31)&gt;0,$I59&lt;&gt;"Parc." &amp; $X$31,$I59&lt;&gt;"")</formula>
    </cfRule>
  </conditionalFormatting>
  <conditionalFormatting sqref="I96:N125">
    <cfRule type="expression" dxfId="133" priority="35">
      <formula>$N$126=TRUE</formula>
    </cfRule>
    <cfRule type="expression" dxfId="132" priority="36">
      <formula>AND(COUNTIF($I$112:$N$125,"Parc." &amp; $X$31)&gt;0,$I96&lt;&gt;"Parc." &amp; $X$31,$I96&lt;&gt;"")</formula>
    </cfRule>
  </conditionalFormatting>
  <conditionalFormatting sqref="L22:M51">
    <cfRule type="expression" dxfId="131" priority="3">
      <formula>AND($M22&gt;1, $M22=$L22)</formula>
    </cfRule>
  </conditionalFormatting>
  <conditionalFormatting sqref="L59:M88">
    <cfRule type="expression" dxfId="130" priority="2">
      <formula>AND($M59&gt;1, $M59=$L59)</formula>
    </cfRule>
  </conditionalFormatting>
  <conditionalFormatting sqref="L96:M125">
    <cfRule type="expression" dxfId="129" priority="1">
      <formula>AND($M96&gt;1, $M96=$L96)</formula>
    </cfRule>
  </conditionalFormatting>
  <dataValidations count="2">
    <dataValidation type="list" allowBlank="1" showInputMessage="1" showErrorMessage="1" sqref="J59:J88 J96:J125 D40:D69 J22:J51 D22:D33" xr:uid="{56CE5063-AB2D-453C-906E-D10B40BC5F79}">
      <formula1>ListaValida</formula1>
    </dataValidation>
    <dataValidation type="list" allowBlank="1" showInputMessage="1" showErrorMessage="1" sqref="F22:F33" xr:uid="{781DFDA5-A374-42C7-ADF0-8BC934D7CC47}">
      <formula1>"Pago"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FA72534E-2A75-4BBE-BA83-4C10C9444F43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BA721335-5CA5-4ECD-B2F6-CE06D9EFCDFD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6E566B0B-8EA3-463B-A46D-0657E9509713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68102BA4-E30D-4753-8BDA-9EB700F23E63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9B90FBBA-446B-4743-BF35-91909A8091F7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7670847D-13E5-4E95-9EA6-DC2077DB2E48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E1326B5C-DACF-4A7D-AC33-BEA7A6E84D7D}">
            <xm:f>Personalização!$D$8="Escuro"</xm:f>
            <x14:dxf>
              <font>
                <color theme="0"/>
              </font>
            </x14:dxf>
          </x14:cfRule>
          <x14:cfRule type="expression" priority="24" id="{FD20BDF8-2C59-424F-A683-C44C1651CE7D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57F692D2-1FDF-4DC0-B705-9D9C73071D9B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BEA1DD7D-2164-4ED3-8034-6DFBE8B5A598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8194AF19-42E5-4D38-B9EE-42621A07B1C3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9539CC5B-B9A9-47D6-BEC8-F7D52BDA20B5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331E6D90-D7C0-4232-883D-951E7232E17B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F43624EB-03F3-4578-AD74-2E1C62371185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F56F1344-8066-4D1E-A9E3-949A930BA33B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B8CF74A2-A378-45CA-822D-3ACB6A2959AA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AD38A9C5-FDB1-45D8-93BB-CAEF6F4A59BF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2AEFD95E-C6CA-46B3-8C42-B8A995BE82D3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1D9A9C86-1D9A-45FD-ADA0-9DCB94105987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D45091E0-2AA7-4444-BBC8-C034D5B0E564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F9506EAF-C4DA-4A33-8845-F543465B9E83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04D2-AD43-4F78-9100-614817BA45D0}">
  <sheetPr codeName="Planilha59"/>
  <dimension ref="B5:Z138"/>
  <sheetViews>
    <sheetView showGridLines="0" zoomScale="90" zoomScaleNormal="90" workbookViewId="0">
      <selection activeCell="C18" sqref="C18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October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90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107" priority="25">
      <formula>$F22="Pago"</formula>
    </cfRule>
  </conditionalFormatting>
  <conditionalFormatting sqref="L52:M52">
    <cfRule type="expression" dxfId="106" priority="28">
      <formula>$N$52=TRUE</formula>
    </cfRule>
  </conditionalFormatting>
  <conditionalFormatting sqref="L89:M89">
    <cfRule type="expression" dxfId="105" priority="27">
      <formula>$N$89=TRUE</formula>
    </cfRule>
  </conditionalFormatting>
  <conditionalFormatting sqref="L126:M126">
    <cfRule type="expression" dxfId="104" priority="26">
      <formula>$N$126=TRUE</formula>
    </cfRule>
  </conditionalFormatting>
  <conditionalFormatting sqref="C74:F90">
    <cfRule type="expression" dxfId="103" priority="29">
      <formula>$E74&lt;&gt;""</formula>
    </cfRule>
    <cfRule type="expression" dxfId="102" priority="30">
      <formula>$E74=""</formula>
    </cfRule>
  </conditionalFormatting>
  <conditionalFormatting sqref="I22:N51">
    <cfRule type="expression" dxfId="101" priority="31">
      <formula>AND(COUNTIF($I$22:$N$51,"Parc." &amp; $X$31)&gt;0,$I22&lt;&gt;"Parc." &amp; $X$31,$I22&lt;&gt;"")</formula>
    </cfRule>
    <cfRule type="expression" dxfId="100" priority="32">
      <formula>$N$52=TRUE</formula>
    </cfRule>
  </conditionalFormatting>
  <conditionalFormatting sqref="I59:N88">
    <cfRule type="expression" dxfId="99" priority="33">
      <formula>$N$89=TRUE</formula>
    </cfRule>
    <cfRule type="expression" dxfId="98" priority="34">
      <formula>AND(COUNTIF($I$59:$N$88,"Parc." &amp; $X$31)&gt;0,$I59&lt;&gt;"Parc." &amp; $X$31,$I59&lt;&gt;"")</formula>
    </cfRule>
  </conditionalFormatting>
  <conditionalFormatting sqref="I96:N125">
    <cfRule type="expression" dxfId="97" priority="35">
      <formula>$N$126=TRUE</formula>
    </cfRule>
    <cfRule type="expression" dxfId="96" priority="36">
      <formula>AND(COUNTIF($I$112:$N$125,"Parc." &amp; $X$31)&gt;0,$I96&lt;&gt;"Parc." &amp; $X$31,$I96&lt;&gt;"")</formula>
    </cfRule>
  </conditionalFormatting>
  <conditionalFormatting sqref="L22:M51">
    <cfRule type="expression" dxfId="95" priority="3">
      <formula>AND($M22&gt;1, $M22=$L22)</formula>
    </cfRule>
  </conditionalFormatting>
  <conditionalFormatting sqref="L59:M88">
    <cfRule type="expression" dxfId="94" priority="2">
      <formula>AND($M59&gt;1, $M59=$L59)</formula>
    </cfRule>
  </conditionalFormatting>
  <conditionalFormatting sqref="L96:M125">
    <cfRule type="expression" dxfId="93" priority="1">
      <formula>AND($M96&gt;1, $M96=$L96)</formula>
    </cfRule>
  </conditionalFormatting>
  <dataValidations count="2">
    <dataValidation type="list" allowBlank="1" showInputMessage="1" showErrorMessage="1" sqref="F22:F33" xr:uid="{DD901922-EAC8-481D-B659-B84D8EAC7D15}">
      <formula1>"Pago"</formula1>
    </dataValidation>
    <dataValidation type="list" allowBlank="1" showInputMessage="1" showErrorMessage="1" sqref="J59:J88 J96:J125 D40:D69 J22:J51 D22:D33" xr:uid="{97548A92-50CC-4B70-9229-20019DB2AB27}">
      <formula1>ListaValida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80144A50-7C68-42A7-AFC3-58BBCD1E85B1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3C09DC28-0FF3-4B7D-A13E-5AE0CC3AE8F4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EBDAC5E3-5262-461C-92C8-3550B0B41116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767017E7-E2CA-4352-8EF0-B2C6FFB3243C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2C92FAAA-03D4-494A-B40D-F58A1DC1E80B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236730B0-46DA-4987-9427-3B0B6FD89459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3E3DC16E-D192-4A5A-9139-B09F2191712C}">
            <xm:f>Personalização!$D$8="Escuro"</xm:f>
            <x14:dxf>
              <font>
                <color theme="0"/>
              </font>
            </x14:dxf>
          </x14:cfRule>
          <x14:cfRule type="expression" priority="24" id="{4101F636-5D00-479D-81F2-166CB7F8C3AE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65ED2893-C3BA-48B0-8F87-FEF24CD131DE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F5FA5D4B-F1BB-4F1F-984B-1CA95E254ECA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5F05D177-E93D-4B3D-9C46-527E8E273989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4C415E56-4721-4E83-B224-95441EA9C825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EB6D81C8-219D-44F6-B960-6498310E42B3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4B773DDB-1210-4523-B623-02F074164C27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26AC626C-F931-45FF-96E2-2DA34FBF6DAC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77B75416-08D1-4127-A9FA-A4D2D7543EFA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8659B78F-BD1F-47DE-8872-DAE29FF9293E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C7F1EBE5-CC23-4F7C-BFD0-E27F66D0047E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5D78B0F4-B2A2-4711-A7B5-6D5F44B3892D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755AFCCF-F26B-4B5C-B140-2295825A7969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34BFAF0E-1D4B-4D35-9A5E-FD80EDEC3886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8F4F-EDD1-4744-81E9-CA0847940975}">
  <sheetPr codeName="Planilha60"/>
  <dimension ref="B5:Z138"/>
  <sheetViews>
    <sheetView showGridLines="0" zoomScale="90" zoomScaleNormal="90" workbookViewId="0">
      <selection activeCell="C18" sqref="C18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November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90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71" priority="25">
      <formula>$F22="Pago"</formula>
    </cfRule>
  </conditionalFormatting>
  <conditionalFormatting sqref="L52:M52">
    <cfRule type="expression" dxfId="70" priority="28">
      <formula>$N$52=TRUE</formula>
    </cfRule>
  </conditionalFormatting>
  <conditionalFormatting sqref="L89:M89">
    <cfRule type="expression" dxfId="69" priority="27">
      <formula>$N$89=TRUE</formula>
    </cfRule>
  </conditionalFormatting>
  <conditionalFormatting sqref="L126:M126">
    <cfRule type="expression" dxfId="68" priority="26">
      <formula>$N$126=TRUE</formula>
    </cfRule>
  </conditionalFormatting>
  <conditionalFormatting sqref="C74:F90">
    <cfRule type="expression" dxfId="67" priority="29">
      <formula>$E74&lt;&gt;""</formula>
    </cfRule>
    <cfRule type="expression" dxfId="66" priority="30">
      <formula>$E74=""</formula>
    </cfRule>
  </conditionalFormatting>
  <conditionalFormatting sqref="I22:N51">
    <cfRule type="expression" dxfId="65" priority="31">
      <formula>AND(COUNTIF($I$22:$N$51,"Parc." &amp; $X$31)&gt;0,$I22&lt;&gt;"Parc." &amp; $X$31,$I22&lt;&gt;"")</formula>
    </cfRule>
    <cfRule type="expression" dxfId="64" priority="32">
      <formula>$N$52=TRUE</formula>
    </cfRule>
  </conditionalFormatting>
  <conditionalFormatting sqref="I59:N88">
    <cfRule type="expression" dxfId="63" priority="33">
      <formula>$N$89=TRUE</formula>
    </cfRule>
    <cfRule type="expression" dxfId="62" priority="34">
      <formula>AND(COUNTIF($I$59:$N$88,"Parc." &amp; $X$31)&gt;0,$I59&lt;&gt;"Parc." &amp; $X$31,$I59&lt;&gt;"")</formula>
    </cfRule>
  </conditionalFormatting>
  <conditionalFormatting sqref="I96:N125">
    <cfRule type="expression" dxfId="61" priority="35">
      <formula>$N$126=TRUE</formula>
    </cfRule>
    <cfRule type="expression" dxfId="60" priority="36">
      <formula>AND(COUNTIF($I$112:$N$125,"Parc." &amp; $X$31)&gt;0,$I96&lt;&gt;"Parc." &amp; $X$31,$I96&lt;&gt;"")</formula>
    </cfRule>
  </conditionalFormatting>
  <conditionalFormatting sqref="L22:M51">
    <cfRule type="expression" dxfId="59" priority="3">
      <formula>AND($M22&gt;1, $M22=$L22)</formula>
    </cfRule>
  </conditionalFormatting>
  <conditionalFormatting sqref="L59:M88">
    <cfRule type="expression" dxfId="58" priority="2">
      <formula>AND($M59&gt;1, $M59=$L59)</formula>
    </cfRule>
  </conditionalFormatting>
  <conditionalFormatting sqref="L96:M125">
    <cfRule type="expression" dxfId="57" priority="1">
      <formula>AND($M96&gt;1, $M96=$L96)</formula>
    </cfRule>
  </conditionalFormatting>
  <dataValidations count="2">
    <dataValidation type="list" allowBlank="1" showInputMessage="1" showErrorMessage="1" sqref="J59:J88 J96:J125 D40:D69 J22:J51 D22:D33" xr:uid="{15B204A7-5DC7-4A54-9652-65BE3CC08259}">
      <formula1>ListaValida</formula1>
    </dataValidation>
    <dataValidation type="list" allowBlank="1" showInputMessage="1" showErrorMessage="1" sqref="F22:F33" xr:uid="{CFC81D63-ED05-4CA3-A2D4-30DA389B3257}">
      <formula1>"Pago"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51C0C4AA-A433-4272-B9E2-F666417747BF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55F9FA87-A794-4544-8ECE-20C6F1FF99BB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EDAEAF14-1607-4AE4-8697-ADC604F743FE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FAE4D4BF-804C-4C36-B7D4-0AA77BA0F2E9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0B7EA467-E318-496C-8554-EA4698963F7D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2EF19792-47A6-4D81-9ED7-C4D5D4EA2407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61389964-1404-46F8-83A0-0F4CBDBB270C}">
            <xm:f>Personalização!$D$8="Escuro"</xm:f>
            <x14:dxf>
              <font>
                <color theme="0"/>
              </font>
            </x14:dxf>
          </x14:cfRule>
          <x14:cfRule type="expression" priority="24" id="{1143E0C6-621A-460D-A8F0-3FD868ABED32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61523A85-2846-45D2-B855-B3CA5E76D81E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94BECCF2-B8A7-422F-9994-96F5F465633A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A63ED575-B30B-4AA5-ABD8-D9C8EC8A2E1A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69C05CD7-8C8D-47EC-807A-8644219C2FC3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307D3643-1241-485A-9C00-43AB9868EC97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26F48BA5-30BA-4476-BA5D-3D512D5B16AB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925A9E1E-1729-47C5-B4DE-C0CA0DCB768B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78072B1A-76CF-42FE-B962-BF4DC1DE8C4D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2D53191B-E6CB-4B33-9454-BF7F31DC0490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18F4822D-2034-4626-8EF4-D38C656220C0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D09BA186-FEFA-4566-A91F-801FD3F6A39B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0A2F47E9-0116-4949-9DF2-38FDA6059AED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E7E04985-DC76-470B-B7A0-3B6BAEC596EE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44258-6972-46BC-A2C4-780F834A6C1D}">
  <sheetPr codeName="Planilha61"/>
  <dimension ref="B5:Z138"/>
  <sheetViews>
    <sheetView showGridLines="0" zoomScale="90" zoomScaleNormal="90" workbookViewId="0">
      <selection activeCell="T18" sqref="T18"/>
    </sheetView>
  </sheetViews>
  <sheetFormatPr defaultColWidth="9.140625" defaultRowHeight="15" x14ac:dyDescent="0.25"/>
  <cols>
    <col min="1" max="1" width="9.140625" style="1"/>
    <col min="2" max="2" width="6.28515625" style="10" customWidth="1"/>
    <col min="3" max="3" width="18.5703125" style="10" customWidth="1"/>
    <col min="4" max="4" width="14.28515625" style="10" customWidth="1"/>
    <col min="5" max="5" width="13.140625" style="10" customWidth="1"/>
    <col min="6" max="6" width="7.42578125" style="10" customWidth="1"/>
    <col min="7" max="7" width="6.140625" style="10" customWidth="1"/>
    <col min="8" max="8" width="5.42578125" style="10" customWidth="1"/>
    <col min="9" max="9" width="21" style="10" customWidth="1"/>
    <col min="10" max="10" width="14.7109375" style="10" customWidth="1"/>
    <col min="11" max="11" width="13.42578125" style="10" customWidth="1"/>
    <col min="12" max="13" width="10.85546875" style="10" customWidth="1"/>
    <col min="14" max="14" width="14.140625" style="10" customWidth="1"/>
    <col min="15" max="15" width="16.140625" style="10" hidden="1" customWidth="1"/>
    <col min="16" max="16" width="7.28515625" style="10" customWidth="1"/>
    <col min="17" max="17" width="10" style="10" customWidth="1"/>
    <col min="18" max="19" width="9.140625" style="1"/>
    <col min="20" max="20" width="11.28515625" style="1" bestFit="1" customWidth="1"/>
    <col min="21" max="23" width="9.140625" style="1"/>
    <col min="24" max="24" width="20.85546875" style="1" hidden="1" customWidth="1"/>
    <col min="25" max="25" width="19.42578125" style="1" hidden="1" customWidth="1"/>
    <col min="26" max="26" width="15.85546875" style="1" hidden="1" customWidth="1"/>
    <col min="27" max="16384" width="9.140625" style="1"/>
  </cols>
  <sheetData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2:26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2:26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26" x14ac:dyDescent="0.2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26" x14ac:dyDescent="0.2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X9" s="30" t="s">
        <v>4</v>
      </c>
      <c r="Y9" s="30" t="s">
        <v>61</v>
      </c>
      <c r="Z9" s="30" t="s">
        <v>94</v>
      </c>
    </row>
    <row r="10" spans="2:26" x14ac:dyDescent="0.2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X10" s="2" t="str">
        <f>Personalização!$J8</f>
        <v>Assinatura</v>
      </c>
      <c r="Y10" s="14">
        <f t="shared" ref="Y10:Y28" ca="1" si="0">IF(SUMIF($I$22:$I$51, "Parc." &amp; $X$31, $N$22:$N$51) &gt; 0,
    IF(INDEX($J$22:$J$51, MATCH("Contas", $J$22:$J$51, 0)) = $X10,
        SUMIF($I$22:$I$51, "Parc." &amp; $X$31, $N$22:$N$51),
        0
    ),
    SUMIF($J$22:$J$51, $X10, $N$22:$N$51)
) +
IF(SUMIF($I$59:$I$88, "Parc." &amp; $X$31, $N$59:$N$88) &gt; 0,
    IF(INDEX($J$59:$J$88, MATCH("Contas", $J$59:$J$88, 0)) = $X10,
        SUMIF($I$59:$I$88, "Parc." &amp; $X$31, $N$59:$N$88),
        0
    ),
    SUMIF($J$59:$J$88, $X10, $N$59:$N$88)
) +
IF(SUMIF($I$112:$I$125, "Parc." &amp; $X$31, $N$112:$N$125) &gt; 0,
    IF(INDEX($J$112:$J$125, MATCH("Contas", $J$112:$J$125, 0)) = $X10,
        SUMIF($I$112:$I$125, "Parc." &amp; $X$31, $N$112:$N$125),
        0
    ),
    SUMIF($J$112:$J$125, $X10, $N$112:$N$125)
) +
SUMIF($D$28:$D$33, $X10, $E$28:$E$33) +
SUMIF($D$49:$D$69, $X10, $E$49:$E$69)</f>
        <v>0</v>
      </c>
      <c r="Z10" s="14">
        <f ca="1">$Y10 + (ROW() / 1000)</f>
        <v>0.01</v>
      </c>
    </row>
    <row r="11" spans="2:26" x14ac:dyDescent="0.2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X11" s="2" t="str">
        <f>Personalização!$J9</f>
        <v>Roupas</v>
      </c>
      <c r="Y11" s="14">
        <f t="shared" ca="1" si="0"/>
        <v>0</v>
      </c>
      <c r="Z11" s="14">
        <f t="shared" ref="Z11:Z28" ca="1" si="1">$Y11 + (ROW() / 1000)</f>
        <v>1.0999999999999999E-2</v>
      </c>
    </row>
    <row r="12" spans="2:26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X12" s="2" t="str">
        <f>Personalização!$J10</f>
        <v>Mercado</v>
      </c>
      <c r="Y12" s="14">
        <f t="shared" ca="1" si="0"/>
        <v>0</v>
      </c>
      <c r="Z12" s="14">
        <f t="shared" ca="1" si="1"/>
        <v>1.2E-2</v>
      </c>
    </row>
    <row r="13" spans="2:26" x14ac:dyDescent="0.2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X13" s="2" t="str">
        <f>Personalização!$J11</f>
        <v>Alimentação</v>
      </c>
      <c r="Y13" s="14">
        <f t="shared" ca="1" si="0"/>
        <v>0</v>
      </c>
      <c r="Z13" s="14">
        <f t="shared" ca="1" si="1"/>
        <v>1.2999999999999999E-2</v>
      </c>
    </row>
    <row r="14" spans="2:26" x14ac:dyDescent="0.25">
      <c r="B14" s="9"/>
      <c r="C14" s="15" t="s">
        <v>65</v>
      </c>
      <c r="D14" s="11">
        <v>2500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X14" s="2" t="str">
        <f>Personalização!$J12</f>
        <v>Cosméticos</v>
      </c>
      <c r="Y14" s="14">
        <f t="shared" ca="1" si="0"/>
        <v>0</v>
      </c>
      <c r="Z14" s="14">
        <f t="shared" ca="1" si="1"/>
        <v>1.4E-2</v>
      </c>
    </row>
    <row r="15" spans="2:26" x14ac:dyDescent="0.2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X15" s="2" t="str">
        <f>Personalização!$J13</f>
        <v>Tecnologia</v>
      </c>
      <c r="Y15" s="14">
        <f t="shared" ca="1" si="0"/>
        <v>0</v>
      </c>
      <c r="Z15" s="14">
        <f t="shared" ca="1" si="1"/>
        <v>1.4999999999999999E-2</v>
      </c>
    </row>
    <row r="16" spans="2:26" x14ac:dyDescent="0.25">
      <c r="B16" s="9"/>
      <c r="C16" s="13" t="s">
        <v>124</v>
      </c>
      <c r="D16" s="12" t="s">
        <v>66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X16" s="2" t="str">
        <f>Personalização!$J14</f>
        <v>Esporte</v>
      </c>
      <c r="Y16" s="14">
        <f t="shared" ca="1" si="0"/>
        <v>0</v>
      </c>
      <c r="Z16" s="14">
        <f t="shared" ca="1" si="1"/>
        <v>1.6E-2</v>
      </c>
    </row>
    <row r="17" spans="2:26" x14ac:dyDescent="0.25">
      <c r="B17" s="9"/>
      <c r="C17" s="20">
        <f ca="1">SUM($J$52, $J$89, $J$126, $E$22:$E$33, $D$70)</f>
        <v>0</v>
      </c>
      <c r="D17" s="21">
        <f ca="1">$D$14-$C$17</f>
        <v>2500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X17" s="2" t="str">
        <f>Personalização!$J15</f>
        <v>Lazer</v>
      </c>
      <c r="Y17" s="14">
        <f t="shared" ca="1" si="0"/>
        <v>0</v>
      </c>
      <c r="Z17" s="14">
        <f t="shared" ca="1" si="1"/>
        <v>1.7000000000000001E-2</v>
      </c>
    </row>
    <row r="18" spans="2:26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X18" s="2" t="str">
        <f>Personalização!$J16</f>
        <v>Combustível</v>
      </c>
      <c r="Y18" s="14">
        <f t="shared" ca="1" si="0"/>
        <v>0</v>
      </c>
      <c r="Z18" s="14">
        <f t="shared" ca="1" si="1"/>
        <v>1.7999999999999999E-2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X19" s="2" t="str">
        <f>Personalização!$J17</f>
        <v>Investimentos</v>
      </c>
      <c r="Y19" s="14">
        <f t="shared" ca="1" si="0"/>
        <v>0</v>
      </c>
      <c r="Z19" s="14">
        <f t="shared" ca="1" si="1"/>
        <v>1.9E-2</v>
      </c>
    </row>
    <row r="20" spans="2:26" ht="15.75" x14ac:dyDescent="0.25">
      <c r="B20" s="9"/>
      <c r="C20" s="130" t="s">
        <v>67</v>
      </c>
      <c r="D20" s="131"/>
      <c r="E20" s="131"/>
      <c r="F20" s="132"/>
      <c r="G20" s="9"/>
      <c r="H20" s="9"/>
      <c r="I20" s="133" t="s">
        <v>68</v>
      </c>
      <c r="J20" s="133"/>
      <c r="K20" s="133"/>
      <c r="L20" s="133"/>
      <c r="M20" s="133"/>
      <c r="N20" s="133"/>
      <c r="O20" s="133"/>
      <c r="P20" s="9"/>
      <c r="Q20" s="9"/>
      <c r="X20" s="2" t="str">
        <f>Personalização!$J18</f>
        <v>Saúde</v>
      </c>
      <c r="Y20" s="14">
        <f t="shared" ca="1" si="0"/>
        <v>0</v>
      </c>
      <c r="Z20" s="14">
        <f t="shared" ca="1" si="1"/>
        <v>0.02</v>
      </c>
    </row>
    <row r="21" spans="2:26" x14ac:dyDescent="0.25">
      <c r="B21" s="9"/>
      <c r="C21" s="4" t="s">
        <v>69</v>
      </c>
      <c r="D21" s="5" t="s">
        <v>70</v>
      </c>
      <c r="E21" s="5" t="s">
        <v>5</v>
      </c>
      <c r="F21" s="5" t="s">
        <v>71</v>
      </c>
      <c r="G21" s="9"/>
      <c r="H21" s="9"/>
      <c r="I21" s="104" t="s">
        <v>69</v>
      </c>
      <c r="J21" s="105" t="s">
        <v>70</v>
      </c>
      <c r="K21" s="105" t="s">
        <v>72</v>
      </c>
      <c r="L21" s="105" t="s">
        <v>73</v>
      </c>
      <c r="M21" s="105" t="s">
        <v>74</v>
      </c>
      <c r="N21" s="105" t="s">
        <v>61</v>
      </c>
      <c r="O21" s="105" t="s">
        <v>75</v>
      </c>
      <c r="P21" s="9"/>
      <c r="Q21" s="9"/>
      <c r="X21" s="2" t="str">
        <f>Personalização!$J19</f>
        <v>Pets</v>
      </c>
      <c r="Y21" s="14">
        <f t="shared" ca="1" si="0"/>
        <v>0</v>
      </c>
      <c r="Z21" s="14">
        <f t="shared" ca="1" si="1"/>
        <v>2.1000000000000001E-2</v>
      </c>
    </row>
    <row r="22" spans="2:26" x14ac:dyDescent="0.25">
      <c r="B22" s="9"/>
      <c r="C22" s="85"/>
      <c r="D22" s="85"/>
      <c r="E22" s="91"/>
      <c r="F22" s="92"/>
      <c r="G22" s="9"/>
      <c r="H22" s="9"/>
      <c r="I22" s="85"/>
      <c r="J22" s="85"/>
      <c r="K22" s="86"/>
      <c r="L22" s="87"/>
      <c r="M22" s="88"/>
      <c r="N22" s="19" t="str">
        <f>IFERROR(IF($M22&lt;&gt;"",$K22/$M22," "),"")</f>
        <v xml:space="preserve"> </v>
      </c>
      <c r="O22" s="6" t="str">
        <f>IF(COUNTIF($I$22:$I22,$I22)&gt;1,"Adiantada","")</f>
        <v/>
      </c>
      <c r="P22" s="9"/>
      <c r="Q22" s="9"/>
      <c r="X22" s="2" t="str">
        <f>Personalização!$J20</f>
        <v>Estudos</v>
      </c>
      <c r="Y22" s="14">
        <f t="shared" ca="1" si="0"/>
        <v>0</v>
      </c>
      <c r="Z22" s="14">
        <f t="shared" ca="1" si="1"/>
        <v>2.1999999999999999E-2</v>
      </c>
    </row>
    <row r="23" spans="2:26" x14ac:dyDescent="0.25">
      <c r="B23" s="9"/>
      <c r="C23" s="85"/>
      <c r="D23" s="85"/>
      <c r="E23" s="91"/>
      <c r="F23" s="92"/>
      <c r="G23" s="9"/>
      <c r="H23" s="9"/>
      <c r="I23" s="85"/>
      <c r="J23" s="85"/>
      <c r="K23" s="86"/>
      <c r="L23" s="87"/>
      <c r="M23" s="88"/>
      <c r="N23" s="19" t="str">
        <f t="shared" ref="N23:N51" si="2">IFERROR(IF($M23&lt;&gt;"",$K23/$M23," "),"")</f>
        <v xml:space="preserve"> </v>
      </c>
      <c r="O23" s="6" t="str">
        <f>IF(COUNTIF($I$22:$I23,$I23)&gt;1,"Adiantada","")</f>
        <v/>
      </c>
      <c r="P23" s="9"/>
      <c r="Q23" s="9"/>
      <c r="X23" s="2" t="str">
        <f>Personalização!$J21</f>
        <v>Barbearia</v>
      </c>
      <c r="Y23" s="14">
        <f t="shared" ca="1" si="0"/>
        <v>0</v>
      </c>
      <c r="Z23" s="14">
        <f t="shared" ca="1" si="1"/>
        <v>2.3E-2</v>
      </c>
    </row>
    <row r="24" spans="2:26" x14ac:dyDescent="0.25">
      <c r="B24" s="9"/>
      <c r="C24" s="85"/>
      <c r="D24" s="85"/>
      <c r="E24" s="91"/>
      <c r="F24" s="92"/>
      <c r="G24" s="9"/>
      <c r="H24" s="9"/>
      <c r="I24" s="85"/>
      <c r="J24" s="85"/>
      <c r="K24" s="86"/>
      <c r="L24" s="87"/>
      <c r="M24" s="88"/>
      <c r="N24" s="19" t="str">
        <f t="shared" si="2"/>
        <v xml:space="preserve"> </v>
      </c>
      <c r="O24" s="6" t="str">
        <f>IF(COUNTIF($I$22:$I24,$I24)&gt;1,"Adiantada","")</f>
        <v/>
      </c>
      <c r="P24" s="9"/>
      <c r="Q24" s="9"/>
      <c r="X24" s="2" t="str">
        <f>Personalização!$J22</f>
        <v>Jogos</v>
      </c>
      <c r="Y24" s="14">
        <f t="shared" ca="1" si="0"/>
        <v>0</v>
      </c>
      <c r="Z24" s="14">
        <f t="shared" ca="1" si="1"/>
        <v>2.4E-2</v>
      </c>
    </row>
    <row r="25" spans="2:26" x14ac:dyDescent="0.25">
      <c r="B25" s="9"/>
      <c r="C25" s="85"/>
      <c r="D25" s="85"/>
      <c r="E25" s="91"/>
      <c r="F25" s="92"/>
      <c r="G25" s="9"/>
      <c r="H25" s="9"/>
      <c r="I25" s="85"/>
      <c r="J25" s="85"/>
      <c r="K25" s="86"/>
      <c r="L25" s="87"/>
      <c r="M25" s="88"/>
      <c r="N25" s="19" t="str">
        <f t="shared" si="2"/>
        <v xml:space="preserve"> </v>
      </c>
      <c r="O25" s="6" t="str">
        <f>IF(COUNTIF($I$22:$I25,$I25)&gt;1,"Adiantada","")</f>
        <v/>
      </c>
      <c r="P25" s="9"/>
      <c r="Q25" s="9"/>
      <c r="X25" s="2" t="str">
        <f>Personalização!$J23</f>
        <v>Transporte</v>
      </c>
      <c r="Y25" s="14">
        <f t="shared" ca="1" si="0"/>
        <v>0</v>
      </c>
      <c r="Z25" s="14">
        <f t="shared" ca="1" si="1"/>
        <v>2.5000000000000001E-2</v>
      </c>
    </row>
    <row r="26" spans="2:26" x14ac:dyDescent="0.25">
      <c r="B26" s="9"/>
      <c r="C26" s="85"/>
      <c r="D26" s="85"/>
      <c r="E26" s="91"/>
      <c r="F26" s="92"/>
      <c r="G26" s="9"/>
      <c r="H26" s="9"/>
      <c r="I26" s="85"/>
      <c r="J26" s="85"/>
      <c r="K26" s="86"/>
      <c r="L26" s="87"/>
      <c r="M26" s="88"/>
      <c r="N26" s="19" t="str">
        <f t="shared" si="2"/>
        <v xml:space="preserve"> </v>
      </c>
      <c r="O26" s="6" t="str">
        <f>IF(COUNTIF($I$22:$I26,$I26)&gt;1,"Adiantada","")</f>
        <v/>
      </c>
      <c r="P26" s="9"/>
      <c r="Q26" s="9"/>
      <c r="X26" s="2" t="str">
        <f>Personalização!$J24</f>
        <v>Outros</v>
      </c>
      <c r="Y26" s="14">
        <f t="shared" ca="1" si="0"/>
        <v>0</v>
      </c>
      <c r="Z26" s="14">
        <f t="shared" ca="1" si="1"/>
        <v>2.5999999999999999E-2</v>
      </c>
    </row>
    <row r="27" spans="2:26" x14ac:dyDescent="0.25">
      <c r="B27" s="9"/>
      <c r="C27" s="85"/>
      <c r="D27" s="85"/>
      <c r="E27" s="91"/>
      <c r="F27" s="92"/>
      <c r="G27" s="9"/>
      <c r="H27" s="9"/>
      <c r="I27" s="85"/>
      <c r="J27" s="85"/>
      <c r="K27" s="86"/>
      <c r="L27" s="87"/>
      <c r="M27" s="88"/>
      <c r="N27" s="19" t="str">
        <f t="shared" si="2"/>
        <v xml:space="preserve"> </v>
      </c>
      <c r="O27" s="6" t="str">
        <f>IF(COUNTIF($I$22:$I27,$I27)&gt;1,"Adiantada","")</f>
        <v/>
      </c>
      <c r="P27" s="9"/>
      <c r="Q27" s="9"/>
      <c r="X27" s="2">
        <f>Personalização!$J25</f>
        <v>0</v>
      </c>
      <c r="Y27" s="14">
        <f t="shared" ca="1" si="0"/>
        <v>0</v>
      </c>
      <c r="Z27" s="14">
        <f t="shared" ca="1" si="1"/>
        <v>2.7E-2</v>
      </c>
    </row>
    <row r="28" spans="2:26" x14ac:dyDescent="0.25">
      <c r="B28" s="9"/>
      <c r="C28" s="85"/>
      <c r="D28" s="85"/>
      <c r="E28" s="91"/>
      <c r="F28" s="92"/>
      <c r="G28" s="9"/>
      <c r="H28" s="9"/>
      <c r="I28" s="85"/>
      <c r="J28" s="85"/>
      <c r="K28" s="89"/>
      <c r="L28" s="87"/>
      <c r="M28" s="88"/>
      <c r="N28" s="19" t="str">
        <f t="shared" si="2"/>
        <v xml:space="preserve"> </v>
      </c>
      <c r="O28" s="6" t="str">
        <f>IF(COUNTIF($I$22:$I28,$I28)&gt;1,"Adiantada","")</f>
        <v/>
      </c>
      <c r="P28" s="9"/>
      <c r="Q28" s="9"/>
      <c r="X28" s="2" t="str">
        <f>Personalização!$J26</f>
        <v>Contas</v>
      </c>
      <c r="Y28" s="14">
        <f t="shared" ca="1" si="0"/>
        <v>0</v>
      </c>
      <c r="Z28" s="14">
        <f t="shared" ca="1" si="1"/>
        <v>2.8000000000000001E-2</v>
      </c>
    </row>
    <row r="29" spans="2:26" x14ac:dyDescent="0.25">
      <c r="B29" s="9"/>
      <c r="C29" s="85"/>
      <c r="D29" s="85"/>
      <c r="E29" s="91"/>
      <c r="F29" s="92"/>
      <c r="G29" s="9"/>
      <c r="H29" s="9"/>
      <c r="I29" s="85"/>
      <c r="J29" s="85"/>
      <c r="K29" s="89"/>
      <c r="L29" s="87"/>
      <c r="M29" s="88"/>
      <c r="N29" s="19" t="str">
        <f t="shared" si="2"/>
        <v xml:space="preserve"> </v>
      </c>
      <c r="O29" s="6" t="str">
        <f>IF(COUNTIF($I$22:$I29,$I29)&gt;1,"Adiantada","")</f>
        <v/>
      </c>
      <c r="P29" s="9"/>
      <c r="Q29" s="9"/>
    </row>
    <row r="30" spans="2:26" x14ac:dyDescent="0.25">
      <c r="B30" s="9"/>
      <c r="C30" s="85"/>
      <c r="D30" s="85"/>
      <c r="E30" s="91"/>
      <c r="F30" s="92"/>
      <c r="G30" s="9"/>
      <c r="H30" s="9"/>
      <c r="I30" s="85"/>
      <c r="J30" s="85"/>
      <c r="K30" s="89"/>
      <c r="L30" s="87"/>
      <c r="M30" s="88"/>
      <c r="N30" s="19" t="str">
        <f t="shared" si="2"/>
        <v xml:space="preserve"> </v>
      </c>
      <c r="O30" s="6" t="str">
        <f>IF(COUNTIF($I$22:$I30,$I30)&gt;1,"Adiantada","")</f>
        <v/>
      </c>
      <c r="P30" s="9"/>
      <c r="Q30" s="9"/>
      <c r="X30" s="31" t="s">
        <v>64</v>
      </c>
    </row>
    <row r="31" spans="2:26" x14ac:dyDescent="0.25">
      <c r="B31" s="9"/>
      <c r="C31" s="85"/>
      <c r="D31" s="85"/>
      <c r="E31" s="91"/>
      <c r="F31" s="92"/>
      <c r="G31" s="9"/>
      <c r="H31" s="9"/>
      <c r="I31" s="85"/>
      <c r="J31" s="85"/>
      <c r="K31" s="93"/>
      <c r="L31" s="87"/>
      <c r="M31" s="88"/>
      <c r="N31" s="19" t="str">
        <f t="shared" si="2"/>
        <v xml:space="preserve"> </v>
      </c>
      <c r="O31" s="6" t="str">
        <f>IF(COUNTIF($I$22:$I31,$I31)&gt;1,"Adiantada","")</f>
        <v/>
      </c>
      <c r="P31" s="9"/>
      <c r="Q31" s="9"/>
      <c r="X31" s="3" t="str" cm="1">
        <f t="array" aca="1" ref="X31" ca="1">MID(CELL("nome.arquivo", A1), SEARCH("]", CELL("nome.arquivo", A1)) + 1, 31)</f>
        <v>December</v>
      </c>
    </row>
    <row r="32" spans="2:26" x14ac:dyDescent="0.25">
      <c r="B32" s="9"/>
      <c r="C32" s="85"/>
      <c r="D32" s="85"/>
      <c r="E32" s="91"/>
      <c r="F32" s="92"/>
      <c r="G32" s="9"/>
      <c r="H32" s="9"/>
      <c r="I32" s="85"/>
      <c r="J32" s="85"/>
      <c r="K32" s="93"/>
      <c r="L32" s="87"/>
      <c r="M32" s="88"/>
      <c r="N32" s="19" t="str">
        <f t="shared" si="2"/>
        <v xml:space="preserve"> </v>
      </c>
      <c r="O32" s="6" t="str">
        <f>IF(COUNTIF($I$22:$I32,$I32)&gt;1,"Adiantada","")</f>
        <v/>
      </c>
      <c r="P32" s="9"/>
      <c r="Q32" s="9"/>
    </row>
    <row r="33" spans="2:25" x14ac:dyDescent="0.25">
      <c r="B33" s="9"/>
      <c r="C33" s="85"/>
      <c r="D33" s="85"/>
      <c r="E33" s="91"/>
      <c r="F33" s="92"/>
      <c r="G33" s="9"/>
      <c r="H33" s="9"/>
      <c r="I33" s="85"/>
      <c r="J33" s="85"/>
      <c r="K33" s="93"/>
      <c r="L33" s="87"/>
      <c r="M33" s="88"/>
      <c r="N33" s="19" t="str">
        <f t="shared" si="2"/>
        <v xml:space="preserve"> </v>
      </c>
      <c r="O33" s="6" t="str">
        <f>IF(COUNTIF($I$22:$I33,$I33)&gt;1,"Adiantada","")</f>
        <v/>
      </c>
      <c r="P33" s="9"/>
      <c r="Q33" s="9"/>
    </row>
    <row r="34" spans="2:25" x14ac:dyDescent="0.25">
      <c r="B34" s="9"/>
      <c r="C34" s="16" t="s">
        <v>76</v>
      </c>
      <c r="D34" s="134">
        <f>SUMIF($F$28:$F$33,"Pago",$E$28:$E$34)</f>
        <v>0</v>
      </c>
      <c r="E34" s="135"/>
      <c r="F34" s="136"/>
      <c r="G34" s="9"/>
      <c r="H34" s="9"/>
      <c r="I34" s="85"/>
      <c r="J34" s="85"/>
      <c r="K34" s="93"/>
      <c r="L34" s="87"/>
      <c r="M34" s="88"/>
      <c r="N34" s="19" t="str">
        <f t="shared" si="2"/>
        <v xml:space="preserve"> </v>
      </c>
      <c r="O34" s="6" t="str">
        <f>IF(COUNTIF($I$22:$I34,$I34)&gt;1,"Adiantada","")</f>
        <v/>
      </c>
      <c r="P34" s="9"/>
      <c r="Q34" s="9"/>
      <c r="X34" s="30" t="s">
        <v>6</v>
      </c>
      <c r="Y34" s="30" t="s">
        <v>88</v>
      </c>
    </row>
    <row r="35" spans="2:25" x14ac:dyDescent="0.25">
      <c r="B35" s="9"/>
      <c r="C35" s="9"/>
      <c r="D35" s="9"/>
      <c r="E35" s="9"/>
      <c r="F35" s="9"/>
      <c r="G35" s="9"/>
      <c r="H35" s="9"/>
      <c r="I35" s="85"/>
      <c r="J35" s="85"/>
      <c r="K35" s="93"/>
      <c r="L35" s="87"/>
      <c r="M35" s="88"/>
      <c r="N35" s="19" t="str">
        <f t="shared" si="2"/>
        <v xml:space="preserve"> </v>
      </c>
      <c r="O35" s="6" t="str">
        <f>IF(COUNTIF($I$22:$I35,$I35)&gt;1,"Adiantada","")</f>
        <v/>
      </c>
      <c r="P35" s="9"/>
      <c r="Q35" s="9"/>
      <c r="X35" s="2" t="s">
        <v>8</v>
      </c>
      <c r="Y35" s="3">
        <v>1</v>
      </c>
    </row>
    <row r="36" spans="2:25" x14ac:dyDescent="0.25">
      <c r="B36" s="9"/>
      <c r="C36" s="9"/>
      <c r="D36" s="9"/>
      <c r="E36" s="9"/>
      <c r="F36" s="9"/>
      <c r="G36" s="9"/>
      <c r="H36" s="9"/>
      <c r="I36" s="85"/>
      <c r="J36" s="85"/>
      <c r="K36" s="93"/>
      <c r="L36" s="87"/>
      <c r="M36" s="88"/>
      <c r="N36" s="19" t="str">
        <f t="shared" si="2"/>
        <v xml:space="preserve"> </v>
      </c>
      <c r="O36" s="6" t="str">
        <f>IF(COUNTIF($I$22:$I36,$I36)&gt;1,"Adiantada","")</f>
        <v/>
      </c>
      <c r="P36" s="9"/>
      <c r="Q36" s="9"/>
      <c r="X36" s="2" t="s">
        <v>11</v>
      </c>
      <c r="Y36" s="3">
        <v>2</v>
      </c>
    </row>
    <row r="37" spans="2:25" x14ac:dyDescent="0.25">
      <c r="B37" s="9"/>
      <c r="C37" s="9"/>
      <c r="D37" s="9"/>
      <c r="E37" s="9"/>
      <c r="F37" s="9"/>
      <c r="G37" s="9"/>
      <c r="H37" s="9"/>
      <c r="I37" s="85"/>
      <c r="J37" s="85"/>
      <c r="K37" s="93"/>
      <c r="L37" s="87"/>
      <c r="M37" s="88"/>
      <c r="N37" s="19" t="str">
        <f t="shared" si="2"/>
        <v xml:space="preserve"> </v>
      </c>
      <c r="O37" s="6" t="str">
        <f>IF(COUNTIF($I$22:$I37,$I37)&gt;1,"Adiantada","")</f>
        <v/>
      </c>
      <c r="P37" s="9"/>
      <c r="Q37" s="9"/>
      <c r="X37" s="2" t="s">
        <v>14</v>
      </c>
      <c r="Y37" s="3">
        <v>3</v>
      </c>
    </row>
    <row r="38" spans="2:25" x14ac:dyDescent="0.25">
      <c r="B38" s="9"/>
      <c r="C38" s="141" t="s">
        <v>77</v>
      </c>
      <c r="D38" s="141"/>
      <c r="E38" s="141"/>
      <c r="F38" s="141"/>
      <c r="G38" s="9"/>
      <c r="H38" s="9"/>
      <c r="I38" s="85"/>
      <c r="J38" s="85"/>
      <c r="K38" s="93"/>
      <c r="L38" s="87"/>
      <c r="M38" s="88"/>
      <c r="N38" s="19" t="str">
        <f t="shared" si="2"/>
        <v xml:space="preserve"> </v>
      </c>
      <c r="O38" s="6" t="str">
        <f>IF(COUNTIF($I$22:$I38,$I38)&gt;1,"Adiantada","")</f>
        <v/>
      </c>
      <c r="P38" s="9"/>
      <c r="Q38" s="9"/>
      <c r="X38" s="2" t="s">
        <v>17</v>
      </c>
      <c r="Y38" s="3">
        <v>4</v>
      </c>
    </row>
    <row r="39" spans="2:25" x14ac:dyDescent="0.25">
      <c r="B39" s="9"/>
      <c r="C39" s="98" t="s">
        <v>69</v>
      </c>
      <c r="D39" s="99" t="s">
        <v>70</v>
      </c>
      <c r="E39" s="140" t="s">
        <v>72</v>
      </c>
      <c r="F39" s="140"/>
      <c r="G39" s="9"/>
      <c r="H39" s="9"/>
      <c r="I39" s="85"/>
      <c r="J39" s="85"/>
      <c r="K39" s="93"/>
      <c r="L39" s="87"/>
      <c r="M39" s="88"/>
      <c r="N39" s="19" t="str">
        <f t="shared" si="2"/>
        <v xml:space="preserve"> </v>
      </c>
      <c r="O39" s="6" t="str">
        <f>IF(COUNTIF($I$22:$I39,$I39)&gt;1,"Adiantada","")</f>
        <v/>
      </c>
      <c r="P39" s="9"/>
      <c r="Q39" s="9"/>
      <c r="X39" s="2" t="s">
        <v>20</v>
      </c>
      <c r="Y39" s="3">
        <v>5</v>
      </c>
    </row>
    <row r="40" spans="2:25" x14ac:dyDescent="0.25">
      <c r="B40" s="9"/>
      <c r="C40" s="100"/>
      <c r="D40" s="100"/>
      <c r="E40" s="122"/>
      <c r="F40" s="122"/>
      <c r="G40" s="9"/>
      <c r="H40" s="9"/>
      <c r="I40" s="85"/>
      <c r="J40" s="85"/>
      <c r="K40" s="89"/>
      <c r="L40" s="87"/>
      <c r="M40" s="88"/>
      <c r="N40" s="19" t="str">
        <f t="shared" si="2"/>
        <v xml:space="preserve"> </v>
      </c>
      <c r="O40" s="6" t="str">
        <f>IF(COUNTIF($I$22:$I40,$I40)&gt;1,"Adiantada","")</f>
        <v/>
      </c>
      <c r="P40" s="9"/>
      <c r="Q40" s="9"/>
      <c r="X40" s="2" t="s">
        <v>23</v>
      </c>
      <c r="Y40" s="3">
        <v>6</v>
      </c>
    </row>
    <row r="41" spans="2:25" x14ac:dyDescent="0.25">
      <c r="B41" s="9"/>
      <c r="C41" s="100"/>
      <c r="D41" s="100"/>
      <c r="E41" s="122"/>
      <c r="F41" s="122"/>
      <c r="G41" s="9"/>
      <c r="H41" s="9"/>
      <c r="I41" s="85"/>
      <c r="J41" s="85"/>
      <c r="K41" s="89"/>
      <c r="L41" s="87"/>
      <c r="M41" s="88"/>
      <c r="N41" s="19" t="str">
        <f t="shared" si="2"/>
        <v xml:space="preserve"> </v>
      </c>
      <c r="O41" s="6" t="str">
        <f>IF(COUNTIF($I$22:$I41,$I41)&gt;1,"Adiantada","")</f>
        <v/>
      </c>
      <c r="P41" s="9"/>
      <c r="Q41" s="9"/>
      <c r="X41" s="2" t="s">
        <v>26</v>
      </c>
      <c r="Y41" s="3">
        <v>7</v>
      </c>
    </row>
    <row r="42" spans="2:25" x14ac:dyDescent="0.25">
      <c r="B42" s="9"/>
      <c r="C42" s="100"/>
      <c r="D42" s="100"/>
      <c r="E42" s="122"/>
      <c r="F42" s="122"/>
      <c r="G42" s="9"/>
      <c r="H42" s="9"/>
      <c r="I42" s="85"/>
      <c r="J42" s="85"/>
      <c r="K42" s="90"/>
      <c r="L42" s="87"/>
      <c r="M42" s="88"/>
      <c r="N42" s="19" t="str">
        <f t="shared" si="2"/>
        <v xml:space="preserve"> </v>
      </c>
      <c r="O42" s="6" t="str">
        <f>IF(COUNTIF($I$22:$I42,$I42)&gt;1,"Adiantada","")</f>
        <v/>
      </c>
      <c r="P42" s="9"/>
      <c r="Q42" s="9"/>
      <c r="X42" s="2" t="s">
        <v>28</v>
      </c>
      <c r="Y42" s="3">
        <v>8</v>
      </c>
    </row>
    <row r="43" spans="2:25" x14ac:dyDescent="0.25">
      <c r="B43" s="9"/>
      <c r="C43" s="100"/>
      <c r="D43" s="100"/>
      <c r="E43" s="122"/>
      <c r="F43" s="122"/>
      <c r="G43" s="9"/>
      <c r="H43" s="9"/>
      <c r="I43" s="85"/>
      <c r="J43" s="85"/>
      <c r="K43" s="89"/>
      <c r="L43" s="87"/>
      <c r="M43" s="88"/>
      <c r="N43" s="19" t="str">
        <f t="shared" si="2"/>
        <v xml:space="preserve"> </v>
      </c>
      <c r="O43" s="6" t="str">
        <f>IF(COUNTIF($I$22:$I43,$I43)&gt;1,"Adiantada","")</f>
        <v/>
      </c>
      <c r="P43" s="9"/>
      <c r="Q43" s="9"/>
      <c r="X43" s="2" t="s">
        <v>31</v>
      </c>
      <c r="Y43" s="3">
        <v>9</v>
      </c>
    </row>
    <row r="44" spans="2:25" x14ac:dyDescent="0.25">
      <c r="B44" s="9"/>
      <c r="C44" s="100"/>
      <c r="D44" s="100"/>
      <c r="E44" s="122"/>
      <c r="F44" s="122"/>
      <c r="G44" s="9"/>
      <c r="H44" s="9"/>
      <c r="I44" s="85"/>
      <c r="J44" s="85"/>
      <c r="K44" s="89"/>
      <c r="L44" s="87"/>
      <c r="M44" s="88"/>
      <c r="N44" s="19" t="str">
        <f t="shared" si="2"/>
        <v xml:space="preserve"> </v>
      </c>
      <c r="O44" s="6" t="str">
        <f>IF(COUNTIF($I$22:$I44,$I44)&gt;1,"Adiantada","")</f>
        <v/>
      </c>
      <c r="P44" s="9"/>
      <c r="Q44" s="9"/>
      <c r="X44" s="2" t="s">
        <v>34</v>
      </c>
      <c r="Y44" s="3">
        <v>10</v>
      </c>
    </row>
    <row r="45" spans="2:25" x14ac:dyDescent="0.25">
      <c r="B45" s="9"/>
      <c r="C45" s="100"/>
      <c r="D45" s="100"/>
      <c r="E45" s="122"/>
      <c r="F45" s="122"/>
      <c r="G45" s="9"/>
      <c r="H45" s="9"/>
      <c r="I45" s="85"/>
      <c r="J45" s="85"/>
      <c r="K45" s="89"/>
      <c r="L45" s="87"/>
      <c r="M45" s="88"/>
      <c r="N45" s="19" t="str">
        <f t="shared" si="2"/>
        <v xml:space="preserve"> </v>
      </c>
      <c r="O45" s="6" t="str">
        <f>IF(COUNTIF($I$22:$I45,$I45)&gt;1,"Adiantada","")</f>
        <v/>
      </c>
      <c r="P45" s="9"/>
      <c r="Q45" s="9"/>
      <c r="X45" s="2" t="s">
        <v>37</v>
      </c>
      <c r="Y45" s="3">
        <v>11</v>
      </c>
    </row>
    <row r="46" spans="2:25" x14ac:dyDescent="0.25">
      <c r="B46" s="9"/>
      <c r="C46" s="100"/>
      <c r="D46" s="100"/>
      <c r="E46" s="122"/>
      <c r="F46" s="122"/>
      <c r="G46" s="9"/>
      <c r="H46" s="9"/>
      <c r="I46" s="85"/>
      <c r="J46" s="85"/>
      <c r="K46" s="90"/>
      <c r="L46" s="87"/>
      <c r="M46" s="88"/>
      <c r="N46" s="19" t="str">
        <f t="shared" si="2"/>
        <v xml:space="preserve"> </v>
      </c>
      <c r="O46" s="6" t="str">
        <f>IF(COUNTIF($I$22:$I46,$I46)&gt;1,"Adiantada","")</f>
        <v/>
      </c>
      <c r="P46" s="9"/>
      <c r="Q46" s="9"/>
      <c r="X46" s="2" t="s">
        <v>40</v>
      </c>
      <c r="Y46" s="3">
        <v>12</v>
      </c>
    </row>
    <row r="47" spans="2:25" x14ac:dyDescent="0.25">
      <c r="B47" s="9"/>
      <c r="C47" s="100"/>
      <c r="D47" s="100"/>
      <c r="E47" s="122"/>
      <c r="F47" s="122"/>
      <c r="G47" s="9"/>
      <c r="H47" s="9"/>
      <c r="I47" s="85"/>
      <c r="J47" s="85"/>
      <c r="K47" s="90"/>
      <c r="L47" s="87"/>
      <c r="M47" s="88"/>
      <c r="N47" s="19" t="str">
        <f t="shared" si="2"/>
        <v xml:space="preserve"> </v>
      </c>
      <c r="O47" s="6" t="str">
        <f>IF(COUNTIF($I$22:$I47,$I47)&gt;1,"Adiantada","")</f>
        <v/>
      </c>
      <c r="P47" s="9"/>
      <c r="Q47" s="9"/>
      <c r="X47" s="2" t="s">
        <v>43</v>
      </c>
      <c r="Y47" s="3">
        <v>13</v>
      </c>
    </row>
    <row r="48" spans="2:25" x14ac:dyDescent="0.25">
      <c r="B48" s="9"/>
      <c r="C48" s="100"/>
      <c r="D48" s="100"/>
      <c r="E48" s="122"/>
      <c r="F48" s="122"/>
      <c r="G48" s="9"/>
      <c r="H48" s="9"/>
      <c r="I48" s="85"/>
      <c r="J48" s="85"/>
      <c r="K48" s="90"/>
      <c r="L48" s="87"/>
      <c r="M48" s="88"/>
      <c r="N48" s="19" t="str">
        <f t="shared" si="2"/>
        <v xml:space="preserve"> </v>
      </c>
      <c r="O48" s="6" t="str">
        <f>IF(COUNTIF($I$22:$I48,$I48)&gt;1,"Adiantada","")</f>
        <v/>
      </c>
      <c r="P48" s="9"/>
      <c r="Q48" s="9"/>
      <c r="X48" s="2" t="s">
        <v>46</v>
      </c>
      <c r="Y48" s="3">
        <v>14</v>
      </c>
    </row>
    <row r="49" spans="2:25" x14ac:dyDescent="0.25">
      <c r="B49" s="9"/>
      <c r="C49" s="100"/>
      <c r="D49" s="100"/>
      <c r="E49" s="122"/>
      <c r="F49" s="122"/>
      <c r="G49" s="9"/>
      <c r="H49" s="9"/>
      <c r="I49" s="85"/>
      <c r="J49" s="85"/>
      <c r="K49" s="90"/>
      <c r="L49" s="87"/>
      <c r="M49" s="88"/>
      <c r="N49" s="19" t="str">
        <f t="shared" si="2"/>
        <v xml:space="preserve"> </v>
      </c>
      <c r="O49" s="6" t="str">
        <f>IF(COUNTIF($I$22:$I49,$I49)&gt;1,"Adiantada","")</f>
        <v/>
      </c>
      <c r="P49" s="9"/>
      <c r="Q49" s="9"/>
      <c r="X49" s="2" t="s">
        <v>49</v>
      </c>
      <c r="Y49" s="3">
        <v>15</v>
      </c>
    </row>
    <row r="50" spans="2:25" x14ac:dyDescent="0.25">
      <c r="B50" s="9"/>
      <c r="C50" s="100"/>
      <c r="D50" s="100"/>
      <c r="E50" s="122"/>
      <c r="F50" s="122"/>
      <c r="G50" s="9"/>
      <c r="H50" s="9"/>
      <c r="I50" s="85"/>
      <c r="J50" s="85"/>
      <c r="K50" s="90"/>
      <c r="L50" s="88"/>
      <c r="M50" s="88"/>
      <c r="N50" s="19" t="str">
        <f t="shared" si="2"/>
        <v xml:space="preserve"> </v>
      </c>
      <c r="O50" s="6" t="str">
        <f>IF(COUNTIF($I$22:$I50,$I50)&gt;1,"Adiantada","")</f>
        <v/>
      </c>
      <c r="P50" s="9"/>
      <c r="Q50" s="9"/>
      <c r="X50" s="2" t="s">
        <v>52</v>
      </c>
      <c r="Y50" s="3">
        <v>16</v>
      </c>
    </row>
    <row r="51" spans="2:25" x14ac:dyDescent="0.25">
      <c r="B51" s="9"/>
      <c r="C51" s="100"/>
      <c r="D51" s="100"/>
      <c r="E51" s="122"/>
      <c r="F51" s="122"/>
      <c r="G51" s="9"/>
      <c r="H51" s="9"/>
      <c r="I51" s="85"/>
      <c r="J51" s="85"/>
      <c r="K51" s="86"/>
      <c r="L51" s="88"/>
      <c r="M51" s="88"/>
      <c r="N51" s="19" t="str">
        <f t="shared" si="2"/>
        <v xml:space="preserve"> </v>
      </c>
      <c r="O51" s="6" t="str">
        <f>IF(COUNTIF($I$22:$I51,$I51)&gt;1,"Adiantada","")</f>
        <v/>
      </c>
      <c r="P51" s="9"/>
      <c r="Q51" s="9"/>
      <c r="X51" s="2" t="s">
        <v>121</v>
      </c>
      <c r="Y51" s="3">
        <v>17</v>
      </c>
    </row>
    <row r="52" spans="2:25" x14ac:dyDescent="0.25">
      <c r="B52" s="9"/>
      <c r="C52" s="100"/>
      <c r="D52" s="100"/>
      <c r="E52" s="122"/>
      <c r="F52" s="122"/>
      <c r="G52" s="9"/>
      <c r="H52" s="9"/>
      <c r="I52" s="17" t="s">
        <v>76</v>
      </c>
      <c r="J52" s="126">
        <f ca="1">IF(SUMIF(I22:I51,"Parc." &amp; $X$31,N22:N51) &gt; 0, SUMIF(I22:I51,"Parc." &amp; $X$31,N22:N51), SUM(N22:N51))</f>
        <v>0</v>
      </c>
      <c r="K52" s="127"/>
      <c r="L52" s="137" t="s">
        <v>78</v>
      </c>
      <c r="M52" s="138"/>
      <c r="N52" s="7" t="b">
        <v>0</v>
      </c>
      <c r="O52" s="8"/>
      <c r="P52" s="9"/>
      <c r="Q52" s="9"/>
      <c r="X52" s="2" t="s">
        <v>122</v>
      </c>
      <c r="Y52" s="3">
        <v>18</v>
      </c>
    </row>
    <row r="53" spans="2:25" x14ac:dyDescent="0.25">
      <c r="B53" s="9"/>
      <c r="C53" s="100"/>
      <c r="D53" s="100"/>
      <c r="E53" s="122"/>
      <c r="F53" s="12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25" x14ac:dyDescent="0.25">
      <c r="B54" s="9"/>
      <c r="C54" s="100"/>
      <c r="D54" s="100"/>
      <c r="E54" s="122"/>
      <c r="F54" s="12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2:25" x14ac:dyDescent="0.25">
      <c r="B55" s="9"/>
      <c r="C55" s="100"/>
      <c r="D55" s="100"/>
      <c r="E55" s="122"/>
      <c r="F55" s="122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2:25" x14ac:dyDescent="0.25">
      <c r="B56" s="9"/>
      <c r="C56" s="100"/>
      <c r="D56" s="100"/>
      <c r="E56" s="122"/>
      <c r="F56" s="122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25" ht="15.75" x14ac:dyDescent="0.25">
      <c r="B57" s="9"/>
      <c r="C57" s="100"/>
      <c r="D57" s="100"/>
      <c r="E57" s="122"/>
      <c r="F57" s="122"/>
      <c r="G57" s="9"/>
      <c r="H57" s="9"/>
      <c r="I57" s="139" t="s">
        <v>79</v>
      </c>
      <c r="J57" s="139"/>
      <c r="K57" s="139"/>
      <c r="L57" s="139"/>
      <c r="M57" s="139"/>
      <c r="N57" s="139"/>
      <c r="O57" s="139"/>
      <c r="P57" s="9"/>
      <c r="Q57" s="9"/>
    </row>
    <row r="58" spans="2:25" x14ac:dyDescent="0.25">
      <c r="B58" s="9"/>
      <c r="C58" s="100"/>
      <c r="D58" s="100"/>
      <c r="E58" s="122"/>
      <c r="F58" s="122"/>
      <c r="G58" s="9"/>
      <c r="H58" s="9"/>
      <c r="I58" s="4" t="s">
        <v>69</v>
      </c>
      <c r="J58" s="5" t="s">
        <v>70</v>
      </c>
      <c r="K58" s="5" t="s">
        <v>72</v>
      </c>
      <c r="L58" s="5" t="s">
        <v>73</v>
      </c>
      <c r="M58" s="5" t="s">
        <v>74</v>
      </c>
      <c r="N58" s="5" t="s">
        <v>61</v>
      </c>
      <c r="O58" s="5" t="s">
        <v>75</v>
      </c>
      <c r="P58" s="9"/>
      <c r="Q58" s="9"/>
    </row>
    <row r="59" spans="2:25" x14ac:dyDescent="0.25">
      <c r="B59" s="9"/>
      <c r="C59" s="100"/>
      <c r="D59" s="100"/>
      <c r="E59" s="122"/>
      <c r="F59" s="122"/>
      <c r="G59" s="9"/>
      <c r="H59" s="9"/>
      <c r="I59" s="85"/>
      <c r="J59" s="85"/>
      <c r="K59" s="90"/>
      <c r="L59" s="87"/>
      <c r="M59" s="88"/>
      <c r="N59" s="19" t="str">
        <f>IFERROR(IF($M59&lt;&gt;"",$K59/$M59," "),"")</f>
        <v xml:space="preserve"> </v>
      </c>
      <c r="O59" s="6" t="str">
        <f>IF(COUNTIF($I$59:$I59,$I59)&gt;1,"Adiantada","")</f>
        <v/>
      </c>
      <c r="P59" s="9"/>
      <c r="Q59" s="9"/>
    </row>
    <row r="60" spans="2:25" x14ac:dyDescent="0.25">
      <c r="B60" s="9"/>
      <c r="C60" s="100"/>
      <c r="D60" s="100"/>
      <c r="E60" s="122"/>
      <c r="F60" s="122"/>
      <c r="G60" s="9"/>
      <c r="H60" s="9"/>
      <c r="I60" s="85"/>
      <c r="J60" s="85"/>
      <c r="K60" s="90"/>
      <c r="L60" s="87"/>
      <c r="M60" s="88"/>
      <c r="N60" s="19" t="str">
        <f t="shared" ref="N60:N88" si="3">IFERROR(IF($M60&lt;&gt;"",$K60/$M60," "),"")</f>
        <v xml:space="preserve"> </v>
      </c>
      <c r="O60" s="6" t="str">
        <f>IF(COUNTIF($I$59:$I60,$I60)&gt;1,"Adiantada","")</f>
        <v/>
      </c>
      <c r="P60" s="9"/>
      <c r="Q60" s="9"/>
    </row>
    <row r="61" spans="2:25" x14ac:dyDescent="0.25">
      <c r="B61" s="9"/>
      <c r="C61" s="100"/>
      <c r="D61" s="100"/>
      <c r="E61" s="122"/>
      <c r="F61" s="122"/>
      <c r="G61" s="9"/>
      <c r="H61" s="9"/>
      <c r="I61" s="85"/>
      <c r="J61" s="85"/>
      <c r="K61" s="90"/>
      <c r="L61" s="87"/>
      <c r="M61" s="88"/>
      <c r="N61" s="19" t="str">
        <f t="shared" si="3"/>
        <v xml:space="preserve"> </v>
      </c>
      <c r="O61" s="6" t="str">
        <f>IF(COUNTIF($I$59:$I61,$I61)&gt;1,"Adiantada","")</f>
        <v/>
      </c>
      <c r="P61" s="9"/>
      <c r="Q61" s="9"/>
    </row>
    <row r="62" spans="2:25" x14ac:dyDescent="0.25">
      <c r="B62" s="9"/>
      <c r="C62" s="100"/>
      <c r="D62" s="100"/>
      <c r="E62" s="122"/>
      <c r="F62" s="122"/>
      <c r="G62" s="9"/>
      <c r="H62" s="9"/>
      <c r="I62" s="85"/>
      <c r="J62" s="85"/>
      <c r="K62" s="90"/>
      <c r="L62" s="87"/>
      <c r="M62" s="88"/>
      <c r="N62" s="19" t="str">
        <f t="shared" si="3"/>
        <v xml:space="preserve"> </v>
      </c>
      <c r="O62" s="6" t="str">
        <f>IF(COUNTIF($I$59:$I62,$I62)&gt;1,"Adiantada","")</f>
        <v/>
      </c>
      <c r="P62" s="9"/>
      <c r="Q62" s="9"/>
    </row>
    <row r="63" spans="2:25" x14ac:dyDescent="0.25">
      <c r="B63" s="9"/>
      <c r="C63" s="100"/>
      <c r="D63" s="100"/>
      <c r="E63" s="122"/>
      <c r="F63" s="122"/>
      <c r="G63" s="9"/>
      <c r="H63" s="9"/>
      <c r="I63" s="85"/>
      <c r="J63" s="85"/>
      <c r="K63" s="90"/>
      <c r="L63" s="87"/>
      <c r="M63" s="88"/>
      <c r="N63" s="19" t="str">
        <f t="shared" si="3"/>
        <v xml:space="preserve"> </v>
      </c>
      <c r="O63" s="6" t="str">
        <f>IF(COUNTIF($I$59:$I63,$I63)&gt;1,"Adiantada","")</f>
        <v/>
      </c>
      <c r="P63" s="9"/>
      <c r="Q63" s="9"/>
    </row>
    <row r="64" spans="2:25" x14ac:dyDescent="0.25">
      <c r="B64" s="9"/>
      <c r="C64" s="100"/>
      <c r="D64" s="100"/>
      <c r="E64" s="122"/>
      <c r="F64" s="122"/>
      <c r="G64" s="9"/>
      <c r="H64" s="9"/>
      <c r="I64" s="85"/>
      <c r="J64" s="85"/>
      <c r="K64" s="90"/>
      <c r="L64" s="87"/>
      <c r="M64" s="88"/>
      <c r="N64" s="19" t="str">
        <f t="shared" si="3"/>
        <v xml:space="preserve"> </v>
      </c>
      <c r="O64" s="6" t="str">
        <f>IF(COUNTIF($I$59:$I64,$I64)&gt;1,"Adiantada","")</f>
        <v/>
      </c>
      <c r="P64" s="9"/>
      <c r="Q64" s="9"/>
    </row>
    <row r="65" spans="2:17" x14ac:dyDescent="0.25">
      <c r="B65" s="9"/>
      <c r="C65" s="100"/>
      <c r="D65" s="100"/>
      <c r="E65" s="122"/>
      <c r="F65" s="122"/>
      <c r="G65" s="9"/>
      <c r="H65" s="9"/>
      <c r="I65" s="85"/>
      <c r="J65" s="85"/>
      <c r="K65" s="90"/>
      <c r="L65" s="87"/>
      <c r="M65" s="88"/>
      <c r="N65" s="19" t="str">
        <f t="shared" si="3"/>
        <v xml:space="preserve"> </v>
      </c>
      <c r="O65" s="6" t="str">
        <f>IF(COUNTIF($I$59:$I65,$I65)&gt;1,"Adiantada","")</f>
        <v/>
      </c>
      <c r="P65" s="9"/>
      <c r="Q65" s="9"/>
    </row>
    <row r="66" spans="2:17" x14ac:dyDescent="0.25">
      <c r="B66" s="9"/>
      <c r="C66" s="100"/>
      <c r="D66" s="100"/>
      <c r="E66" s="122"/>
      <c r="F66" s="122"/>
      <c r="G66" s="9"/>
      <c r="H66" s="9"/>
      <c r="I66" s="85"/>
      <c r="J66" s="85"/>
      <c r="K66" s="90"/>
      <c r="L66" s="87"/>
      <c r="M66" s="88"/>
      <c r="N66" s="19" t="str">
        <f t="shared" si="3"/>
        <v xml:space="preserve"> </v>
      </c>
      <c r="O66" s="6" t="str">
        <f>IF(COUNTIF($I$59:$I66,$I66)&gt;1,"Adiantada","")</f>
        <v/>
      </c>
      <c r="P66" s="9"/>
      <c r="Q66" s="9"/>
    </row>
    <row r="67" spans="2:17" x14ac:dyDescent="0.25">
      <c r="B67" s="9"/>
      <c r="C67" s="100"/>
      <c r="D67" s="100"/>
      <c r="E67" s="122"/>
      <c r="F67" s="122"/>
      <c r="G67" s="9"/>
      <c r="H67" s="9"/>
      <c r="I67" s="85"/>
      <c r="J67" s="85"/>
      <c r="K67" s="90"/>
      <c r="L67" s="87"/>
      <c r="M67" s="88"/>
      <c r="N67" s="19" t="str">
        <f t="shared" si="3"/>
        <v xml:space="preserve"> </v>
      </c>
      <c r="O67" s="6" t="str">
        <f>IF(COUNTIF($I$59:$I67,$I67)&gt;1,"Adiantada","")</f>
        <v/>
      </c>
      <c r="P67" s="9"/>
      <c r="Q67" s="9"/>
    </row>
    <row r="68" spans="2:17" x14ac:dyDescent="0.25">
      <c r="B68" s="9"/>
      <c r="C68" s="100"/>
      <c r="D68" s="100"/>
      <c r="E68" s="122"/>
      <c r="F68" s="122"/>
      <c r="G68" s="9"/>
      <c r="H68" s="9"/>
      <c r="I68" s="85"/>
      <c r="J68" s="85"/>
      <c r="K68" s="90"/>
      <c r="L68" s="87"/>
      <c r="M68" s="88"/>
      <c r="N68" s="19" t="str">
        <f t="shared" si="3"/>
        <v xml:space="preserve"> </v>
      </c>
      <c r="O68" s="6" t="str">
        <f>IF(COUNTIF($I$59:$I68,$I68)&gt;1,"Adiantada","")</f>
        <v/>
      </c>
      <c r="P68" s="9"/>
      <c r="Q68" s="9"/>
    </row>
    <row r="69" spans="2:17" x14ac:dyDescent="0.25">
      <c r="B69" s="9"/>
      <c r="C69" s="100"/>
      <c r="D69" s="100"/>
      <c r="E69" s="122"/>
      <c r="F69" s="122"/>
      <c r="G69" s="9"/>
      <c r="H69" s="9"/>
      <c r="I69" s="85"/>
      <c r="J69" s="85"/>
      <c r="K69" s="90"/>
      <c r="L69" s="87"/>
      <c r="M69" s="88"/>
      <c r="N69" s="19" t="str">
        <f t="shared" si="3"/>
        <v xml:space="preserve"> </v>
      </c>
      <c r="O69" s="6" t="str">
        <f>IF(COUNTIF($I$59:$I69,$I69)&gt;1,"Adiantada","")</f>
        <v/>
      </c>
      <c r="P69" s="9"/>
      <c r="Q69" s="9"/>
    </row>
    <row r="70" spans="2:17" x14ac:dyDescent="0.25">
      <c r="B70" s="9"/>
      <c r="C70" s="101" t="s">
        <v>76</v>
      </c>
      <c r="D70" s="123">
        <f>SUM($E$49:$E$69)</f>
        <v>0</v>
      </c>
      <c r="E70" s="123"/>
      <c r="F70" s="123"/>
      <c r="G70" s="9"/>
      <c r="H70" s="9"/>
      <c r="I70" s="85"/>
      <c r="J70" s="85"/>
      <c r="K70" s="90"/>
      <c r="L70" s="87"/>
      <c r="M70" s="88"/>
      <c r="N70" s="19" t="str">
        <f t="shared" si="3"/>
        <v xml:space="preserve"> </v>
      </c>
      <c r="O70" s="6" t="str">
        <f>IF(COUNTIF($I$59:$I70,$I70)&gt;1,"Adiantada","")</f>
        <v/>
      </c>
      <c r="P70" s="9"/>
      <c r="Q70" s="9"/>
    </row>
    <row r="71" spans="2:17" x14ac:dyDescent="0.25">
      <c r="B71" s="9"/>
      <c r="C71" s="9"/>
      <c r="D71" s="9"/>
      <c r="E71" s="9"/>
      <c r="F71" s="9"/>
      <c r="G71" s="9"/>
      <c r="H71" s="9"/>
      <c r="I71" s="85"/>
      <c r="J71" s="85"/>
      <c r="K71" s="90"/>
      <c r="L71" s="87"/>
      <c r="M71" s="88"/>
      <c r="N71" s="19" t="str">
        <f t="shared" si="3"/>
        <v xml:space="preserve"> </v>
      </c>
      <c r="O71" s="6" t="str">
        <f>IF(COUNTIF($I$59:$I71,$I71)&gt;1,"Adiantada","")</f>
        <v/>
      </c>
      <c r="P71" s="9"/>
      <c r="Q71" s="9"/>
    </row>
    <row r="72" spans="2:17" x14ac:dyDescent="0.25">
      <c r="B72" s="9"/>
      <c r="C72" s="9"/>
      <c r="D72" s="9"/>
      <c r="E72" s="9"/>
      <c r="F72" s="9"/>
      <c r="G72" s="9"/>
      <c r="H72" s="9"/>
      <c r="I72" s="85"/>
      <c r="J72" s="85"/>
      <c r="K72" s="90"/>
      <c r="L72" s="87"/>
      <c r="M72" s="88"/>
      <c r="N72" s="19" t="str">
        <f t="shared" si="3"/>
        <v xml:space="preserve"> </v>
      </c>
      <c r="O72" s="6" t="str">
        <f>IF(COUNTIF($I$59:$I72,$I72)&gt;1,"Adiantada","")</f>
        <v/>
      </c>
      <c r="P72" s="9"/>
      <c r="Q72" s="9"/>
    </row>
    <row r="73" spans="2:17" x14ac:dyDescent="0.25">
      <c r="B73" s="9"/>
      <c r="C73" s="9"/>
      <c r="D73" s="9"/>
      <c r="E73" s="9"/>
      <c r="F73" s="9"/>
      <c r="G73" s="9"/>
      <c r="H73" s="9"/>
      <c r="I73" s="85"/>
      <c r="J73" s="85"/>
      <c r="K73" s="90"/>
      <c r="L73" s="87"/>
      <c r="M73" s="88"/>
      <c r="N73" s="19" t="str">
        <f t="shared" si="3"/>
        <v xml:space="preserve"> </v>
      </c>
      <c r="O73" s="6" t="str">
        <f>IF(COUNTIF($I$59:$I73,$I73)&gt;1,"Adiantada","")</f>
        <v/>
      </c>
      <c r="P73" s="9"/>
      <c r="Q73" s="9"/>
    </row>
    <row r="74" spans="2:17" ht="15.75" x14ac:dyDescent="0.25">
      <c r="B74" s="9"/>
      <c r="C74" s="18" t="s">
        <v>62</v>
      </c>
      <c r="D74" s="18" t="s">
        <v>4</v>
      </c>
      <c r="E74" s="124" t="str">
        <f ca="1">IF($E$75&lt;&gt;"","Gasto","")</f>
        <v/>
      </c>
      <c r="F74" s="125"/>
      <c r="G74" s="9"/>
      <c r="H74" s="9"/>
      <c r="I74" s="85"/>
      <c r="J74" s="85"/>
      <c r="K74" s="90"/>
      <c r="L74" s="87"/>
      <c r="M74" s="88"/>
      <c r="N74" s="19" t="str">
        <f t="shared" si="3"/>
        <v xml:space="preserve"> </v>
      </c>
      <c r="O74" s="6" t="str">
        <f>IF(COUNTIF($I$59:$I74,$I74)&gt;1,"Adiantada","")</f>
        <v/>
      </c>
      <c r="P74" s="9"/>
      <c r="Q74" s="9"/>
    </row>
    <row r="75" spans="2:17" ht="15.75" x14ac:dyDescent="0.25">
      <c r="B75" s="9"/>
      <c r="C75" s="23" t="str">
        <f t="shared" ref="C75:C90" ca="1" si="4">IF($E75&lt;&gt;"",$X35,"")</f>
        <v/>
      </c>
      <c r="D75" s="24" t="str">
        <f t="shared" ref="D75:D90" ca="1" si="5">IF(LARGE(Z$10:Z$28, Y35) &lt; 1, "", INDEX(X$10:X$28, MATCH(LARGE(Z$10:Z$28, Y35), Z$10:Z$28, 0)))</f>
        <v/>
      </c>
      <c r="E75" s="120" t="str">
        <f ca="1">IF(LARGE(Z$10:Z$28, Y35) &lt; 1, "", INDEX(Y$10:Y$28, MATCH(LARGE(Z$10:Z$28, Y35), Z$10:Z$28, 0)))</f>
        <v/>
      </c>
      <c r="F75" s="121"/>
      <c r="G75" s="9"/>
      <c r="H75" s="9"/>
      <c r="I75" s="85"/>
      <c r="J75" s="85"/>
      <c r="K75" s="90"/>
      <c r="L75" s="87"/>
      <c r="M75" s="88"/>
      <c r="N75" s="19" t="str">
        <f t="shared" si="3"/>
        <v xml:space="preserve"> </v>
      </c>
      <c r="O75" s="6" t="str">
        <f>IF(COUNTIF($I$59:$I75,$I75)&gt;1,"Adiantada","")</f>
        <v/>
      </c>
      <c r="P75" s="9"/>
      <c r="Q75" s="9"/>
    </row>
    <row r="76" spans="2:17" ht="15.75" x14ac:dyDescent="0.25">
      <c r="B76" s="9"/>
      <c r="C76" s="23" t="str">
        <f t="shared" ca="1" si="4"/>
        <v/>
      </c>
      <c r="D76" s="24" t="str">
        <f t="shared" ca="1" si="5"/>
        <v/>
      </c>
      <c r="E76" s="120" t="str">
        <f ca="1">IF(LARGE(Z$10:Z$28, Y36) &lt; 1, "", INDEX(Y$10:Y$28, MATCH(LARGE(Z$10:Z$28, Y36), Z$10:Z$28, 0)))</f>
        <v/>
      </c>
      <c r="F76" s="121"/>
      <c r="G76" s="9"/>
      <c r="H76" s="9"/>
      <c r="I76" s="85"/>
      <c r="J76" s="85"/>
      <c r="K76" s="90"/>
      <c r="L76" s="87"/>
      <c r="M76" s="88"/>
      <c r="N76" s="19" t="str">
        <f t="shared" si="3"/>
        <v xml:space="preserve"> </v>
      </c>
      <c r="O76" s="6" t="str">
        <f>IF(COUNTIF($I$59:$I76,$I76)&gt;1,"Adiantada","")</f>
        <v/>
      </c>
      <c r="P76" s="9"/>
      <c r="Q76" s="9"/>
    </row>
    <row r="77" spans="2:17" ht="15.75" x14ac:dyDescent="0.25">
      <c r="B77" s="9"/>
      <c r="C77" s="23" t="str">
        <f t="shared" ca="1" si="4"/>
        <v/>
      </c>
      <c r="D77" s="24" t="str">
        <f t="shared" ca="1" si="5"/>
        <v/>
      </c>
      <c r="E77" s="120" t="str">
        <f t="shared" ref="E77:E90" ca="1" si="6">IF(LARGE(Z$10:Z$28, Y37) &lt; 1, "", INDEX(Y$10:Y$28, MATCH(LARGE(Z$10:Z$28, Y37), Z$10:Z$28, 0)))</f>
        <v/>
      </c>
      <c r="F77" s="121"/>
      <c r="G77" s="9"/>
      <c r="H77" s="9"/>
      <c r="I77" s="85"/>
      <c r="J77" s="85"/>
      <c r="K77" s="90"/>
      <c r="L77" s="87"/>
      <c r="M77" s="88"/>
      <c r="N77" s="19" t="str">
        <f t="shared" si="3"/>
        <v xml:space="preserve"> </v>
      </c>
      <c r="O77" s="6" t="str">
        <f>IF(COUNTIF($I$59:$I77,$I77)&gt;1,"Adiantada","")</f>
        <v/>
      </c>
      <c r="P77" s="9"/>
      <c r="Q77" s="9"/>
    </row>
    <row r="78" spans="2:17" ht="15.75" x14ac:dyDescent="0.25">
      <c r="B78" s="9"/>
      <c r="C78" s="23" t="str">
        <f t="shared" ca="1" si="4"/>
        <v/>
      </c>
      <c r="D78" s="24" t="str">
        <f t="shared" ca="1" si="5"/>
        <v/>
      </c>
      <c r="E78" s="120" t="str">
        <f t="shared" ca="1" si="6"/>
        <v/>
      </c>
      <c r="F78" s="121"/>
      <c r="G78" s="9"/>
      <c r="H78" s="9"/>
      <c r="I78" s="85"/>
      <c r="J78" s="85"/>
      <c r="K78" s="90"/>
      <c r="L78" s="87"/>
      <c r="M78" s="88"/>
      <c r="N78" s="19" t="str">
        <f t="shared" si="3"/>
        <v xml:space="preserve"> </v>
      </c>
      <c r="O78" s="6" t="str">
        <f>IF(COUNTIF($I$59:$I78,$I78)&gt;1,"Adiantada","")</f>
        <v/>
      </c>
      <c r="P78" s="9"/>
      <c r="Q78" s="9"/>
    </row>
    <row r="79" spans="2:17" ht="15.75" x14ac:dyDescent="0.25">
      <c r="B79" s="9"/>
      <c r="C79" s="23" t="str">
        <f t="shared" ca="1" si="4"/>
        <v/>
      </c>
      <c r="D79" s="24" t="str">
        <f t="shared" ca="1" si="5"/>
        <v/>
      </c>
      <c r="E79" s="120" t="str">
        <f t="shared" ca="1" si="6"/>
        <v/>
      </c>
      <c r="F79" s="121"/>
      <c r="G79" s="9"/>
      <c r="H79" s="9"/>
      <c r="I79" s="85"/>
      <c r="J79" s="85"/>
      <c r="K79" s="90"/>
      <c r="L79" s="87"/>
      <c r="M79" s="88"/>
      <c r="N79" s="19" t="str">
        <f t="shared" si="3"/>
        <v xml:space="preserve"> </v>
      </c>
      <c r="O79" s="6" t="str">
        <f>IF(COUNTIF($I$59:$I79,$I79)&gt;1,"Adiantada","")</f>
        <v/>
      </c>
      <c r="P79" s="9"/>
      <c r="Q79" s="9"/>
    </row>
    <row r="80" spans="2:17" ht="15.75" x14ac:dyDescent="0.25">
      <c r="B80" s="9"/>
      <c r="C80" s="23" t="str">
        <f t="shared" ca="1" si="4"/>
        <v/>
      </c>
      <c r="D80" s="24" t="str">
        <f t="shared" ca="1" si="5"/>
        <v/>
      </c>
      <c r="E80" s="102" t="str">
        <f t="shared" ca="1" si="6"/>
        <v/>
      </c>
      <c r="F80" s="103"/>
      <c r="G80" s="9"/>
      <c r="H80" s="9"/>
      <c r="I80" s="85"/>
      <c r="J80" s="85"/>
      <c r="K80" s="90"/>
      <c r="L80" s="87"/>
      <c r="M80" s="88"/>
      <c r="N80" s="19" t="str">
        <f t="shared" si="3"/>
        <v xml:space="preserve"> </v>
      </c>
      <c r="O80" s="6" t="str">
        <f>IF(COUNTIF($I$59:$I80,$I80)&gt;1,"Adiantada","")</f>
        <v/>
      </c>
      <c r="P80" s="9"/>
      <c r="Q80" s="9"/>
    </row>
    <row r="81" spans="2:17" ht="15.75" x14ac:dyDescent="0.25">
      <c r="B81" s="9"/>
      <c r="C81" s="23" t="str">
        <f t="shared" ca="1" si="4"/>
        <v/>
      </c>
      <c r="D81" s="24" t="str">
        <f t="shared" ca="1" si="5"/>
        <v/>
      </c>
      <c r="E81" s="102" t="str">
        <f t="shared" ca="1" si="6"/>
        <v/>
      </c>
      <c r="F81" s="103"/>
      <c r="G81" s="9"/>
      <c r="H81" s="9"/>
      <c r="I81" s="85"/>
      <c r="J81" s="85"/>
      <c r="K81" s="90"/>
      <c r="L81" s="87"/>
      <c r="M81" s="88"/>
      <c r="N81" s="19" t="str">
        <f t="shared" si="3"/>
        <v xml:space="preserve"> </v>
      </c>
      <c r="O81" s="6" t="str">
        <f>IF(COUNTIF($I$59:$I81,$I81)&gt;1,"Adiantada","")</f>
        <v/>
      </c>
      <c r="P81" s="9"/>
      <c r="Q81" s="9"/>
    </row>
    <row r="82" spans="2:17" ht="15.75" x14ac:dyDescent="0.25">
      <c r="B82" s="9"/>
      <c r="C82" s="23" t="str">
        <f t="shared" ca="1" si="4"/>
        <v/>
      </c>
      <c r="D82" s="24" t="str">
        <f t="shared" ca="1" si="5"/>
        <v/>
      </c>
      <c r="E82" s="102" t="str">
        <f t="shared" ca="1" si="6"/>
        <v/>
      </c>
      <c r="F82" s="103"/>
      <c r="G82" s="9"/>
      <c r="H82" s="9"/>
      <c r="I82" s="85"/>
      <c r="J82" s="85"/>
      <c r="K82" s="90"/>
      <c r="L82" s="87"/>
      <c r="M82" s="88"/>
      <c r="N82" s="19" t="str">
        <f t="shared" si="3"/>
        <v xml:space="preserve"> </v>
      </c>
      <c r="O82" s="6" t="str">
        <f>IF(COUNTIF($I$59:$I82,$I82)&gt;1,"Adiantada","")</f>
        <v/>
      </c>
      <c r="P82" s="9"/>
      <c r="Q82" s="9"/>
    </row>
    <row r="83" spans="2:17" ht="15.75" x14ac:dyDescent="0.25">
      <c r="B83" s="9"/>
      <c r="C83" s="23" t="str">
        <f t="shared" ca="1" si="4"/>
        <v/>
      </c>
      <c r="D83" s="24" t="str">
        <f t="shared" ca="1" si="5"/>
        <v/>
      </c>
      <c r="E83" s="102" t="str">
        <f t="shared" ca="1" si="6"/>
        <v/>
      </c>
      <c r="F83" s="103"/>
      <c r="G83" s="9"/>
      <c r="H83" s="9"/>
      <c r="I83" s="85"/>
      <c r="J83" s="85"/>
      <c r="K83" s="90"/>
      <c r="L83" s="87"/>
      <c r="M83" s="88"/>
      <c r="N83" s="19" t="str">
        <f t="shared" si="3"/>
        <v xml:space="preserve"> </v>
      </c>
      <c r="O83" s="6" t="str">
        <f>IF(COUNTIF($I$59:$I83,$I83)&gt;1,"Adiantada","")</f>
        <v/>
      </c>
      <c r="P83" s="9"/>
      <c r="Q83" s="9"/>
    </row>
    <row r="84" spans="2:17" ht="15.75" x14ac:dyDescent="0.25">
      <c r="B84" s="9"/>
      <c r="C84" s="23" t="str">
        <f t="shared" ca="1" si="4"/>
        <v/>
      </c>
      <c r="D84" s="24" t="str">
        <f t="shared" ca="1" si="5"/>
        <v/>
      </c>
      <c r="E84" s="102" t="str">
        <f t="shared" ca="1" si="6"/>
        <v/>
      </c>
      <c r="F84" s="103"/>
      <c r="G84" s="9"/>
      <c r="H84" s="9"/>
      <c r="I84" s="85"/>
      <c r="J84" s="85"/>
      <c r="K84" s="90"/>
      <c r="L84" s="87"/>
      <c r="M84" s="88"/>
      <c r="N84" s="19" t="str">
        <f t="shared" si="3"/>
        <v xml:space="preserve"> </v>
      </c>
      <c r="O84" s="6" t="str">
        <f>IF(COUNTIF($I$59:$I84,$I84)&gt;1,"Adiantada","")</f>
        <v/>
      </c>
      <c r="P84" s="9"/>
      <c r="Q84" s="9"/>
    </row>
    <row r="85" spans="2:17" ht="15.75" x14ac:dyDescent="0.25">
      <c r="B85" s="9"/>
      <c r="C85" s="23" t="str">
        <f t="shared" ca="1" si="4"/>
        <v/>
      </c>
      <c r="D85" s="24" t="str">
        <f t="shared" ca="1" si="5"/>
        <v/>
      </c>
      <c r="E85" s="102" t="str">
        <f t="shared" ca="1" si="6"/>
        <v/>
      </c>
      <c r="F85" s="103"/>
      <c r="G85" s="9"/>
      <c r="H85" s="9"/>
      <c r="I85" s="85"/>
      <c r="J85" s="85"/>
      <c r="K85" s="90"/>
      <c r="L85" s="87"/>
      <c r="M85" s="88"/>
      <c r="N85" s="19" t="str">
        <f t="shared" si="3"/>
        <v xml:space="preserve"> </v>
      </c>
      <c r="O85" s="6" t="str">
        <f>IF(COUNTIF($I$59:$I85,$I85)&gt;1,"Adiantada","")</f>
        <v/>
      </c>
      <c r="P85" s="9"/>
      <c r="Q85" s="9"/>
    </row>
    <row r="86" spans="2:17" ht="15.75" x14ac:dyDescent="0.25">
      <c r="B86" s="9"/>
      <c r="C86" s="23" t="str">
        <f t="shared" ca="1" si="4"/>
        <v/>
      </c>
      <c r="D86" s="24" t="str">
        <f t="shared" ca="1" si="5"/>
        <v/>
      </c>
      <c r="E86" s="102" t="str">
        <f t="shared" ca="1" si="6"/>
        <v/>
      </c>
      <c r="F86" s="103"/>
      <c r="G86" s="9"/>
      <c r="H86" s="9"/>
      <c r="I86" s="85"/>
      <c r="J86" s="85"/>
      <c r="K86" s="90"/>
      <c r="L86" s="87"/>
      <c r="M86" s="88"/>
      <c r="N86" s="19" t="str">
        <f t="shared" si="3"/>
        <v xml:space="preserve"> </v>
      </c>
      <c r="O86" s="6" t="str">
        <f>IF(COUNTIF($I$59:$I86,$I86)&gt;1,"Adiantada","")</f>
        <v/>
      </c>
      <c r="P86" s="9"/>
      <c r="Q86" s="9"/>
    </row>
    <row r="87" spans="2:17" ht="15.75" x14ac:dyDescent="0.25">
      <c r="B87" s="9"/>
      <c r="C87" s="23" t="str">
        <f t="shared" ca="1" si="4"/>
        <v/>
      </c>
      <c r="D87" s="24" t="str">
        <f t="shared" ca="1" si="5"/>
        <v/>
      </c>
      <c r="E87" s="102" t="str">
        <f t="shared" ca="1" si="6"/>
        <v/>
      </c>
      <c r="F87" s="103"/>
      <c r="G87" s="9"/>
      <c r="H87" s="9"/>
      <c r="I87" s="85"/>
      <c r="J87" s="85"/>
      <c r="K87" s="90"/>
      <c r="L87" s="87"/>
      <c r="M87" s="88"/>
      <c r="N87" s="19" t="str">
        <f t="shared" si="3"/>
        <v xml:space="preserve"> </v>
      </c>
      <c r="O87" s="6" t="str">
        <f>IF(COUNTIF($I$59:$I87,$I87)&gt;1,"Adiantada","")</f>
        <v/>
      </c>
      <c r="P87" s="9"/>
      <c r="Q87" s="9"/>
    </row>
    <row r="88" spans="2:17" ht="15.75" x14ac:dyDescent="0.25">
      <c r="B88" s="9"/>
      <c r="C88" s="23" t="str">
        <f t="shared" ca="1" si="4"/>
        <v/>
      </c>
      <c r="D88" s="24" t="str">
        <f t="shared" ca="1" si="5"/>
        <v/>
      </c>
      <c r="E88" s="102" t="str">
        <f t="shared" ca="1" si="6"/>
        <v/>
      </c>
      <c r="F88" s="103"/>
      <c r="G88" s="9"/>
      <c r="H88" s="9"/>
      <c r="I88" s="85"/>
      <c r="J88" s="85"/>
      <c r="K88" s="90"/>
      <c r="L88" s="87"/>
      <c r="M88" s="88"/>
      <c r="N88" s="19" t="str">
        <f t="shared" si="3"/>
        <v xml:space="preserve"> </v>
      </c>
      <c r="O88" s="6" t="str">
        <f>IF(COUNTIF($I$59:$I88,$I88)&gt;1,"Adiantada","")</f>
        <v/>
      </c>
      <c r="P88" s="9"/>
      <c r="Q88" s="9"/>
    </row>
    <row r="89" spans="2:17" ht="15.75" x14ac:dyDescent="0.25">
      <c r="B89" s="9"/>
      <c r="C89" s="23" t="str">
        <f t="shared" ca="1" si="4"/>
        <v/>
      </c>
      <c r="D89" s="24" t="str">
        <f t="shared" ca="1" si="5"/>
        <v/>
      </c>
      <c r="E89" s="102" t="str">
        <f t="shared" ca="1" si="6"/>
        <v/>
      </c>
      <c r="F89" s="103"/>
      <c r="G89" s="9"/>
      <c r="H89" s="9"/>
      <c r="I89" s="17" t="s">
        <v>76</v>
      </c>
      <c r="J89" s="126">
        <f ca="1">IF(SUMIF(I59:I88,"Parc." &amp; $X$31,N59:N88) &gt; 0, SUMIF(I59:I88,"Parc." &amp; $X$31,N59:N88), SUM(N59:N88))</f>
        <v>0</v>
      </c>
      <c r="K89" s="127"/>
      <c r="L89" s="128" t="s">
        <v>78</v>
      </c>
      <c r="M89" s="129"/>
      <c r="N89" s="22" t="b">
        <v>0</v>
      </c>
      <c r="O89" s="8"/>
      <c r="P89" s="9"/>
      <c r="Q89" s="9"/>
    </row>
    <row r="90" spans="2:17" ht="15.75" x14ac:dyDescent="0.25">
      <c r="B90" s="9"/>
      <c r="C90" s="23" t="str">
        <f t="shared" ca="1" si="4"/>
        <v/>
      </c>
      <c r="D90" s="24" t="str">
        <f t="shared" ca="1" si="5"/>
        <v/>
      </c>
      <c r="E90" s="102" t="str">
        <f t="shared" ca="1" si="6"/>
        <v/>
      </c>
      <c r="F90" s="103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</row>
    <row r="91" spans="2:17" x14ac:dyDescent="0.25">
      <c r="B91" s="9"/>
      <c r="C91" s="9"/>
      <c r="D91" s="9"/>
      <c r="E91" s="103"/>
      <c r="F91" s="103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</row>
    <row r="92" spans="2:17" x14ac:dyDescent="0.25">
      <c r="B92" s="9"/>
      <c r="C92" s="9"/>
      <c r="D92" s="9"/>
      <c r="E92" s="103"/>
      <c r="F92" s="103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</row>
    <row r="93" spans="2:17" x14ac:dyDescent="0.25">
      <c r="B93" s="9"/>
      <c r="C93" s="9"/>
      <c r="D93" s="9"/>
      <c r="E93" s="103"/>
      <c r="F93" s="103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</row>
    <row r="94" spans="2:17" ht="15.75" x14ac:dyDescent="0.25">
      <c r="B94" s="9"/>
      <c r="C94" s="9"/>
      <c r="D94" s="9"/>
      <c r="E94" s="103"/>
      <c r="F94" s="103"/>
      <c r="G94" s="9"/>
      <c r="H94" s="9"/>
      <c r="I94" s="139" t="s">
        <v>80</v>
      </c>
      <c r="J94" s="139"/>
      <c r="K94" s="139"/>
      <c r="L94" s="139"/>
      <c r="M94" s="139"/>
      <c r="N94" s="139"/>
      <c r="O94" s="139"/>
      <c r="P94" s="9"/>
      <c r="Q94" s="9"/>
    </row>
    <row r="95" spans="2:17" x14ac:dyDescent="0.25">
      <c r="B95" s="9"/>
      <c r="C95" s="9"/>
      <c r="D95" s="9"/>
      <c r="E95" s="103"/>
      <c r="F95" s="103"/>
      <c r="G95" s="9"/>
      <c r="H95" s="9"/>
      <c r="I95" s="4" t="s">
        <v>69</v>
      </c>
      <c r="J95" s="5" t="s">
        <v>70</v>
      </c>
      <c r="K95" s="5" t="s">
        <v>72</v>
      </c>
      <c r="L95" s="5" t="s">
        <v>73</v>
      </c>
      <c r="M95" s="5" t="s">
        <v>74</v>
      </c>
      <c r="N95" s="5" t="s">
        <v>61</v>
      </c>
      <c r="O95" s="5" t="s">
        <v>75</v>
      </c>
      <c r="P95" s="9"/>
      <c r="Q95" s="9"/>
    </row>
    <row r="96" spans="2:17" x14ac:dyDescent="0.25">
      <c r="B96" s="9"/>
      <c r="C96" s="9"/>
      <c r="D96" s="9"/>
      <c r="E96" s="103"/>
      <c r="F96" s="103"/>
      <c r="G96" s="9"/>
      <c r="H96" s="9"/>
      <c r="I96" s="85"/>
      <c r="J96" s="85"/>
      <c r="K96" s="90"/>
      <c r="L96" s="87"/>
      <c r="M96" s="88"/>
      <c r="N96" s="19" t="str">
        <f t="shared" ref="N96:N125" si="7">IFERROR(IF($M96&lt;&gt;"",$K96/$M96," "),"")</f>
        <v xml:space="preserve"> </v>
      </c>
      <c r="O96" s="5" t="str">
        <f>IF(COUNTIF($I$96:$I96,$I96)&gt;1,"Adiantada","")</f>
        <v/>
      </c>
      <c r="P96" s="9"/>
      <c r="Q96" s="9"/>
    </row>
    <row r="97" spans="2:17" x14ac:dyDescent="0.25">
      <c r="B97" s="9"/>
      <c r="C97" s="9"/>
      <c r="D97" s="9"/>
      <c r="E97" s="103"/>
      <c r="F97" s="103"/>
      <c r="G97" s="9"/>
      <c r="H97" s="9"/>
      <c r="I97" s="85"/>
      <c r="J97" s="85"/>
      <c r="K97" s="90"/>
      <c r="L97" s="87"/>
      <c r="M97" s="88"/>
      <c r="N97" s="19" t="str">
        <f t="shared" si="7"/>
        <v xml:space="preserve"> </v>
      </c>
      <c r="O97" s="5" t="str">
        <f>IF(COUNTIF($I$96:$I97,$I97)&gt;1,"Adiantada","")</f>
        <v/>
      </c>
      <c r="P97" s="9"/>
      <c r="Q97" s="9"/>
    </row>
    <row r="98" spans="2:17" x14ac:dyDescent="0.25">
      <c r="B98" s="9"/>
      <c r="C98" s="9"/>
      <c r="D98" s="9"/>
      <c r="E98" s="103"/>
      <c r="F98" s="103"/>
      <c r="G98" s="9"/>
      <c r="H98" s="9"/>
      <c r="I98" s="85"/>
      <c r="J98" s="85"/>
      <c r="K98" s="90"/>
      <c r="L98" s="87"/>
      <c r="M98" s="88"/>
      <c r="N98" s="19" t="str">
        <f t="shared" si="7"/>
        <v xml:space="preserve"> </v>
      </c>
      <c r="O98" s="5" t="str">
        <f>IF(COUNTIF($I$96:$I98,$I98)&gt;1,"Adiantada","")</f>
        <v/>
      </c>
      <c r="P98" s="9"/>
      <c r="Q98" s="9"/>
    </row>
    <row r="99" spans="2:17" x14ac:dyDescent="0.25">
      <c r="B99" s="9"/>
      <c r="C99" s="9"/>
      <c r="D99" s="9"/>
      <c r="E99" s="103"/>
      <c r="F99" s="103"/>
      <c r="G99" s="9"/>
      <c r="H99" s="9"/>
      <c r="I99" s="85"/>
      <c r="J99" s="85"/>
      <c r="K99" s="90"/>
      <c r="L99" s="87"/>
      <c r="M99" s="88"/>
      <c r="N99" s="19" t="str">
        <f t="shared" si="7"/>
        <v xml:space="preserve"> </v>
      </c>
      <c r="O99" s="5" t="str">
        <f>IF(COUNTIF($I$96:$I99,$I99)&gt;1,"Adiantada","")</f>
        <v/>
      </c>
      <c r="P99" s="9"/>
      <c r="Q99" s="9"/>
    </row>
    <row r="100" spans="2:17" x14ac:dyDescent="0.25">
      <c r="B100" s="9"/>
      <c r="C100" s="9"/>
      <c r="D100" s="9"/>
      <c r="E100" s="103"/>
      <c r="F100" s="103"/>
      <c r="G100" s="9"/>
      <c r="H100" s="9"/>
      <c r="I100" s="85"/>
      <c r="J100" s="85"/>
      <c r="K100" s="90"/>
      <c r="L100" s="87"/>
      <c r="M100" s="88"/>
      <c r="N100" s="19" t="str">
        <f t="shared" si="7"/>
        <v xml:space="preserve"> </v>
      </c>
      <c r="O100" s="5" t="str">
        <f>IF(COUNTIF($I$96:$I100,$I100)&gt;1,"Adiantada","")</f>
        <v/>
      </c>
      <c r="P100" s="9"/>
      <c r="Q100" s="9"/>
    </row>
    <row r="101" spans="2:17" x14ac:dyDescent="0.25">
      <c r="B101" s="9"/>
      <c r="C101" s="9"/>
      <c r="D101" s="9"/>
      <c r="E101" s="103"/>
      <c r="F101" s="103"/>
      <c r="G101" s="9"/>
      <c r="H101" s="9"/>
      <c r="I101" s="85"/>
      <c r="J101" s="85"/>
      <c r="K101" s="90"/>
      <c r="L101" s="87"/>
      <c r="M101" s="88"/>
      <c r="N101" s="19" t="str">
        <f t="shared" si="7"/>
        <v xml:space="preserve"> </v>
      </c>
      <c r="O101" s="5" t="str">
        <f>IF(COUNTIF($I$96:$I101,$I101)&gt;1,"Adiantada","")</f>
        <v/>
      </c>
      <c r="P101" s="9"/>
      <c r="Q101" s="9"/>
    </row>
    <row r="102" spans="2:17" x14ac:dyDescent="0.25">
      <c r="B102" s="9"/>
      <c r="C102" s="9"/>
      <c r="D102" s="9"/>
      <c r="E102" s="103"/>
      <c r="F102" s="103"/>
      <c r="G102" s="9"/>
      <c r="H102" s="9"/>
      <c r="I102" s="85"/>
      <c r="J102" s="85"/>
      <c r="K102" s="90"/>
      <c r="L102" s="87"/>
      <c r="M102" s="88"/>
      <c r="N102" s="19" t="str">
        <f t="shared" si="7"/>
        <v xml:space="preserve"> </v>
      </c>
      <c r="O102" s="5" t="str">
        <f>IF(COUNTIF($I$96:$I102,$I102)&gt;1,"Adiantada","")</f>
        <v/>
      </c>
      <c r="P102" s="9"/>
      <c r="Q102" s="9"/>
    </row>
    <row r="103" spans="2:17" x14ac:dyDescent="0.25">
      <c r="B103" s="9"/>
      <c r="C103" s="9"/>
      <c r="D103" s="9"/>
      <c r="E103" s="103"/>
      <c r="F103" s="103"/>
      <c r="G103" s="9"/>
      <c r="H103" s="9"/>
      <c r="I103" s="85"/>
      <c r="J103" s="85"/>
      <c r="K103" s="90"/>
      <c r="L103" s="87"/>
      <c r="M103" s="88"/>
      <c r="N103" s="19" t="str">
        <f t="shared" si="7"/>
        <v xml:space="preserve"> </v>
      </c>
      <c r="O103" s="5" t="str">
        <f>IF(COUNTIF($I$96:$I103,$I103)&gt;1,"Adiantada","")</f>
        <v/>
      </c>
      <c r="P103" s="9"/>
      <c r="Q103" s="9"/>
    </row>
    <row r="104" spans="2:17" x14ac:dyDescent="0.25">
      <c r="B104" s="9"/>
      <c r="C104" s="9"/>
      <c r="D104" s="9"/>
      <c r="E104" s="103"/>
      <c r="F104" s="103"/>
      <c r="G104" s="9"/>
      <c r="H104" s="9"/>
      <c r="I104" s="85"/>
      <c r="J104" s="85"/>
      <c r="K104" s="90"/>
      <c r="L104" s="87"/>
      <c r="M104" s="88"/>
      <c r="N104" s="19" t="str">
        <f t="shared" si="7"/>
        <v xml:space="preserve"> </v>
      </c>
      <c r="O104" s="5" t="str">
        <f>IF(COUNTIF($I$96:$I104,$I104)&gt;1,"Adiantada","")</f>
        <v/>
      </c>
      <c r="P104" s="9"/>
      <c r="Q104" s="9"/>
    </row>
    <row r="105" spans="2:17" x14ac:dyDescent="0.25">
      <c r="B105" s="9"/>
      <c r="C105" s="9"/>
      <c r="D105" s="9"/>
      <c r="E105" s="103"/>
      <c r="F105" s="103"/>
      <c r="G105" s="9"/>
      <c r="H105" s="9"/>
      <c r="I105" s="85"/>
      <c r="J105" s="85"/>
      <c r="K105" s="90"/>
      <c r="L105" s="87"/>
      <c r="M105" s="88"/>
      <c r="N105" s="19" t="str">
        <f t="shared" si="7"/>
        <v xml:space="preserve"> </v>
      </c>
      <c r="O105" s="5" t="str">
        <f>IF(COUNTIF($I$96:$I105,$I105)&gt;1,"Adiantada","")</f>
        <v/>
      </c>
      <c r="P105" s="9"/>
      <c r="Q105" s="9"/>
    </row>
    <row r="106" spans="2:17" x14ac:dyDescent="0.25">
      <c r="B106" s="9"/>
      <c r="C106" s="9"/>
      <c r="D106" s="9"/>
      <c r="E106" s="103"/>
      <c r="F106" s="103"/>
      <c r="G106" s="9"/>
      <c r="H106" s="9"/>
      <c r="I106" s="85"/>
      <c r="J106" s="85"/>
      <c r="K106" s="90"/>
      <c r="L106" s="87"/>
      <c r="M106" s="88"/>
      <c r="N106" s="19" t="str">
        <f t="shared" si="7"/>
        <v xml:space="preserve"> </v>
      </c>
      <c r="O106" s="5" t="str">
        <f>IF(COUNTIF($I$96:$I106,$I106)&gt;1,"Adiantada","")</f>
        <v/>
      </c>
      <c r="P106" s="9"/>
      <c r="Q106" s="9"/>
    </row>
    <row r="107" spans="2:17" x14ac:dyDescent="0.25">
      <c r="B107" s="9"/>
      <c r="C107" s="9"/>
      <c r="D107" s="9"/>
      <c r="E107" s="103"/>
      <c r="F107" s="103"/>
      <c r="G107" s="9"/>
      <c r="H107" s="9"/>
      <c r="I107" s="85"/>
      <c r="J107" s="85"/>
      <c r="K107" s="90"/>
      <c r="L107" s="87"/>
      <c r="M107" s="88"/>
      <c r="N107" s="19" t="str">
        <f t="shared" si="7"/>
        <v xml:space="preserve"> </v>
      </c>
      <c r="O107" s="5" t="str">
        <f>IF(COUNTIF($I$96:$I107,$I107)&gt;1,"Adiantada","")</f>
        <v/>
      </c>
      <c r="P107" s="9"/>
      <c r="Q107" s="9"/>
    </row>
    <row r="108" spans="2:17" x14ac:dyDescent="0.25">
      <c r="B108" s="9"/>
      <c r="C108" s="9"/>
      <c r="D108" s="9"/>
      <c r="E108" s="103"/>
      <c r="F108" s="103"/>
      <c r="G108" s="9"/>
      <c r="H108" s="9"/>
      <c r="I108" s="85"/>
      <c r="J108" s="85"/>
      <c r="K108" s="90"/>
      <c r="L108" s="87"/>
      <c r="M108" s="88"/>
      <c r="N108" s="19" t="str">
        <f t="shared" si="7"/>
        <v xml:space="preserve"> </v>
      </c>
      <c r="O108" s="5" t="str">
        <f>IF(COUNTIF($I$96:$I108,$I108)&gt;1,"Adiantada","")</f>
        <v/>
      </c>
      <c r="P108" s="9"/>
      <c r="Q108" s="9"/>
    </row>
    <row r="109" spans="2:17" x14ac:dyDescent="0.25">
      <c r="B109" s="9"/>
      <c r="C109" s="9"/>
      <c r="D109" s="9"/>
      <c r="E109" s="103"/>
      <c r="F109" s="103"/>
      <c r="G109" s="9"/>
      <c r="H109" s="9"/>
      <c r="I109" s="85"/>
      <c r="J109" s="85"/>
      <c r="K109" s="90"/>
      <c r="L109" s="87"/>
      <c r="M109" s="88"/>
      <c r="N109" s="19" t="str">
        <f t="shared" si="7"/>
        <v xml:space="preserve"> </v>
      </c>
      <c r="O109" s="5" t="str">
        <f>IF(COUNTIF($I$96:$I109,$I109)&gt;1,"Adiantada","")</f>
        <v/>
      </c>
      <c r="P109" s="9"/>
      <c r="Q109" s="9"/>
    </row>
    <row r="110" spans="2:17" x14ac:dyDescent="0.25">
      <c r="B110" s="9"/>
      <c r="C110" s="9"/>
      <c r="D110" s="9"/>
      <c r="E110" s="103"/>
      <c r="F110" s="103"/>
      <c r="G110" s="9"/>
      <c r="H110" s="9"/>
      <c r="I110" s="85"/>
      <c r="J110" s="85"/>
      <c r="K110" s="90"/>
      <c r="L110" s="87"/>
      <c r="M110" s="88"/>
      <c r="N110" s="19" t="str">
        <f t="shared" si="7"/>
        <v xml:space="preserve"> </v>
      </c>
      <c r="O110" s="5" t="str">
        <f>IF(COUNTIF($I$96:$I110,$I110)&gt;1,"Adiantada","")</f>
        <v/>
      </c>
      <c r="P110" s="9"/>
      <c r="Q110" s="9"/>
    </row>
    <row r="111" spans="2:17" x14ac:dyDescent="0.25">
      <c r="B111" s="9"/>
      <c r="C111" s="9"/>
      <c r="D111" s="9"/>
      <c r="E111" s="103"/>
      <c r="F111" s="103"/>
      <c r="G111" s="9"/>
      <c r="H111" s="9"/>
      <c r="I111" s="85"/>
      <c r="J111" s="85"/>
      <c r="K111" s="90"/>
      <c r="L111" s="87"/>
      <c r="M111" s="88"/>
      <c r="N111" s="19" t="str">
        <f t="shared" si="7"/>
        <v xml:space="preserve"> </v>
      </c>
      <c r="O111" s="5" t="str">
        <f>IF(COUNTIF($I$96:$I111,$I111)&gt;1,"Adiantada","")</f>
        <v/>
      </c>
      <c r="P111" s="9"/>
      <c r="Q111" s="9"/>
    </row>
    <row r="112" spans="2:17" x14ac:dyDescent="0.25">
      <c r="B112" s="9"/>
      <c r="C112" s="9"/>
      <c r="D112" s="9"/>
      <c r="E112" s="103"/>
      <c r="F112" s="103"/>
      <c r="G112" s="9"/>
      <c r="H112" s="9"/>
      <c r="I112" s="85"/>
      <c r="J112" s="85"/>
      <c r="K112" s="90"/>
      <c r="L112" s="87"/>
      <c r="M112" s="88"/>
      <c r="N112" s="19" t="str">
        <f t="shared" si="7"/>
        <v xml:space="preserve"> </v>
      </c>
      <c r="O112" s="5" t="str">
        <f>IF(COUNTIF($I$96:$I112,$I112)&gt;1,"Adiantada","")</f>
        <v/>
      </c>
      <c r="P112" s="9"/>
      <c r="Q112" s="9"/>
    </row>
    <row r="113" spans="2:17" x14ac:dyDescent="0.25">
      <c r="B113" s="9"/>
      <c r="C113" s="9"/>
      <c r="D113" s="9"/>
      <c r="E113" s="103"/>
      <c r="F113" s="103"/>
      <c r="G113" s="9"/>
      <c r="H113" s="9"/>
      <c r="I113" s="85"/>
      <c r="J113" s="85"/>
      <c r="K113" s="90"/>
      <c r="L113" s="87"/>
      <c r="M113" s="88"/>
      <c r="N113" s="19" t="str">
        <f t="shared" si="7"/>
        <v xml:space="preserve"> </v>
      </c>
      <c r="O113" s="5" t="str">
        <f>IF(COUNTIF($I$96:$I113,$I113)&gt;1,"Adiantada","")</f>
        <v/>
      </c>
      <c r="P113" s="9"/>
      <c r="Q113" s="9"/>
    </row>
    <row r="114" spans="2:17" x14ac:dyDescent="0.25">
      <c r="B114" s="9"/>
      <c r="C114" s="9"/>
      <c r="D114" s="9"/>
      <c r="E114" s="103"/>
      <c r="F114" s="103"/>
      <c r="G114" s="9"/>
      <c r="H114" s="9"/>
      <c r="I114" s="85"/>
      <c r="J114" s="85"/>
      <c r="K114" s="90"/>
      <c r="L114" s="87"/>
      <c r="M114" s="88"/>
      <c r="N114" s="19" t="str">
        <f t="shared" si="7"/>
        <v xml:space="preserve"> </v>
      </c>
      <c r="O114" s="5" t="str">
        <f>IF(COUNTIF($I$96:$I114,$I114)&gt;1,"Adiantada","")</f>
        <v/>
      </c>
      <c r="P114" s="9"/>
      <c r="Q114" s="9"/>
    </row>
    <row r="115" spans="2:17" x14ac:dyDescent="0.25">
      <c r="B115" s="9"/>
      <c r="C115" s="9"/>
      <c r="D115" s="9"/>
      <c r="E115" s="103"/>
      <c r="F115" s="103"/>
      <c r="G115" s="9"/>
      <c r="H115" s="9"/>
      <c r="I115" s="85"/>
      <c r="J115" s="85"/>
      <c r="K115" s="90"/>
      <c r="L115" s="87"/>
      <c r="M115" s="88"/>
      <c r="N115" s="19" t="str">
        <f t="shared" si="7"/>
        <v xml:space="preserve"> </v>
      </c>
      <c r="O115" s="5" t="str">
        <f>IF(COUNTIF($I$96:$I115,$I115)&gt;1,"Adiantada","")</f>
        <v/>
      </c>
      <c r="P115" s="9"/>
      <c r="Q115" s="9"/>
    </row>
    <row r="116" spans="2:17" x14ac:dyDescent="0.25">
      <c r="B116" s="9"/>
      <c r="C116" s="9"/>
      <c r="D116" s="9"/>
      <c r="E116" s="103"/>
      <c r="F116" s="103"/>
      <c r="G116" s="9"/>
      <c r="H116" s="9"/>
      <c r="I116" s="85"/>
      <c r="J116" s="85"/>
      <c r="K116" s="90"/>
      <c r="L116" s="87"/>
      <c r="M116" s="88"/>
      <c r="N116" s="19" t="str">
        <f t="shared" si="7"/>
        <v xml:space="preserve"> </v>
      </c>
      <c r="O116" s="5" t="str">
        <f>IF(COUNTIF($I$96:$I116,$I116)&gt;1,"Adiantada","")</f>
        <v/>
      </c>
      <c r="P116" s="9"/>
      <c r="Q116" s="9"/>
    </row>
    <row r="117" spans="2:17" x14ac:dyDescent="0.25">
      <c r="B117" s="9"/>
      <c r="C117" s="9"/>
      <c r="D117" s="9"/>
      <c r="E117" s="103"/>
      <c r="F117" s="103"/>
      <c r="G117" s="9"/>
      <c r="H117" s="9"/>
      <c r="I117" s="85"/>
      <c r="J117" s="85"/>
      <c r="K117" s="90"/>
      <c r="L117" s="87"/>
      <c r="M117" s="88"/>
      <c r="N117" s="19" t="str">
        <f t="shared" si="7"/>
        <v xml:space="preserve"> </v>
      </c>
      <c r="O117" s="5" t="str">
        <f>IF(COUNTIF($I$96:$I117,$I117)&gt;1,"Adiantada","")</f>
        <v/>
      </c>
      <c r="P117" s="9"/>
      <c r="Q117" s="9"/>
    </row>
    <row r="118" spans="2:17" x14ac:dyDescent="0.25">
      <c r="B118" s="9"/>
      <c r="C118" s="9"/>
      <c r="D118" s="9"/>
      <c r="E118" s="103"/>
      <c r="F118" s="103"/>
      <c r="G118" s="9"/>
      <c r="H118" s="9"/>
      <c r="I118" s="85"/>
      <c r="J118" s="85"/>
      <c r="K118" s="90"/>
      <c r="L118" s="87"/>
      <c r="M118" s="88"/>
      <c r="N118" s="19" t="str">
        <f t="shared" si="7"/>
        <v xml:space="preserve"> </v>
      </c>
      <c r="O118" s="5" t="str">
        <f>IF(COUNTIF($I$96:$I118,$I118)&gt;1,"Adiantada","")</f>
        <v/>
      </c>
      <c r="P118" s="9"/>
      <c r="Q118" s="9"/>
    </row>
    <row r="119" spans="2:17" x14ac:dyDescent="0.25">
      <c r="B119" s="9"/>
      <c r="C119" s="9"/>
      <c r="D119" s="9"/>
      <c r="E119" s="103"/>
      <c r="F119" s="103"/>
      <c r="G119" s="9"/>
      <c r="H119" s="9"/>
      <c r="I119" s="85"/>
      <c r="J119" s="85"/>
      <c r="K119" s="90"/>
      <c r="L119" s="87"/>
      <c r="M119" s="88"/>
      <c r="N119" s="19" t="str">
        <f t="shared" si="7"/>
        <v xml:space="preserve"> </v>
      </c>
      <c r="O119" s="5" t="str">
        <f>IF(COUNTIF($I$96:$I119,$I119)&gt;1,"Adiantada","")</f>
        <v/>
      </c>
      <c r="P119" s="9"/>
      <c r="Q119" s="9"/>
    </row>
    <row r="120" spans="2:17" x14ac:dyDescent="0.25">
      <c r="B120" s="9"/>
      <c r="C120" s="9"/>
      <c r="D120" s="9"/>
      <c r="E120" s="103"/>
      <c r="F120" s="103"/>
      <c r="G120" s="9"/>
      <c r="H120" s="9"/>
      <c r="I120" s="85"/>
      <c r="J120" s="85"/>
      <c r="K120" s="90"/>
      <c r="L120" s="87"/>
      <c r="M120" s="88"/>
      <c r="N120" s="19" t="str">
        <f t="shared" si="7"/>
        <v xml:space="preserve"> </v>
      </c>
      <c r="O120" s="5" t="str">
        <f>IF(COUNTIF($I$96:$I120,$I120)&gt;1,"Adiantada","")</f>
        <v/>
      </c>
      <c r="P120" s="9"/>
      <c r="Q120" s="9"/>
    </row>
    <row r="121" spans="2:17" x14ac:dyDescent="0.25">
      <c r="B121" s="9"/>
      <c r="C121" s="9"/>
      <c r="D121" s="9"/>
      <c r="E121" s="103"/>
      <c r="F121" s="103"/>
      <c r="G121" s="9"/>
      <c r="H121" s="9"/>
      <c r="I121" s="85"/>
      <c r="J121" s="85"/>
      <c r="K121" s="90"/>
      <c r="L121" s="87"/>
      <c r="M121" s="88"/>
      <c r="N121" s="19" t="str">
        <f t="shared" si="7"/>
        <v xml:space="preserve"> </v>
      </c>
      <c r="O121" s="5" t="str">
        <f>IF(COUNTIF($I$96:$I121,$I121)&gt;1,"Adiantada","")</f>
        <v/>
      </c>
      <c r="P121" s="9"/>
      <c r="Q121" s="9"/>
    </row>
    <row r="122" spans="2:17" x14ac:dyDescent="0.25">
      <c r="B122" s="9"/>
      <c r="C122" s="9"/>
      <c r="D122" s="9"/>
      <c r="E122" s="103"/>
      <c r="F122" s="103"/>
      <c r="G122" s="9"/>
      <c r="H122" s="9"/>
      <c r="I122" s="85"/>
      <c r="J122" s="85"/>
      <c r="K122" s="90"/>
      <c r="L122" s="87"/>
      <c r="M122" s="88"/>
      <c r="N122" s="19" t="str">
        <f t="shared" si="7"/>
        <v xml:space="preserve"> </v>
      </c>
      <c r="O122" s="5" t="str">
        <f>IF(COUNTIF($I$96:$I122,$I122)&gt;1,"Adiantada","")</f>
        <v/>
      </c>
      <c r="P122" s="9"/>
      <c r="Q122" s="9"/>
    </row>
    <row r="123" spans="2:17" x14ac:dyDescent="0.25">
      <c r="B123" s="9"/>
      <c r="C123" s="9"/>
      <c r="D123" s="9"/>
      <c r="E123" s="103"/>
      <c r="F123" s="103"/>
      <c r="G123" s="9"/>
      <c r="H123" s="9"/>
      <c r="I123" s="85"/>
      <c r="J123" s="85"/>
      <c r="K123" s="90"/>
      <c r="L123" s="87"/>
      <c r="M123" s="88"/>
      <c r="N123" s="19" t="str">
        <f t="shared" si="7"/>
        <v xml:space="preserve"> </v>
      </c>
      <c r="O123" s="5" t="str">
        <f>IF(COUNTIF($I$96:$I123,$I123)&gt;1,"Adiantada","")</f>
        <v/>
      </c>
      <c r="P123" s="9"/>
      <c r="Q123" s="9"/>
    </row>
    <row r="124" spans="2:17" x14ac:dyDescent="0.25">
      <c r="B124" s="9"/>
      <c r="C124" s="9"/>
      <c r="D124" s="9"/>
      <c r="E124" s="103"/>
      <c r="F124" s="103"/>
      <c r="G124" s="9"/>
      <c r="H124" s="9"/>
      <c r="I124" s="85"/>
      <c r="J124" s="85"/>
      <c r="K124" s="90"/>
      <c r="L124" s="87"/>
      <c r="M124" s="88"/>
      <c r="N124" s="19" t="str">
        <f t="shared" si="7"/>
        <v xml:space="preserve"> </v>
      </c>
      <c r="O124" s="5" t="str">
        <f>IF(COUNTIF($I$96:$I124,$I124)&gt;1,"Adiantada","")</f>
        <v/>
      </c>
      <c r="P124" s="9"/>
      <c r="Q124" s="9"/>
    </row>
    <row r="125" spans="2:17" x14ac:dyDescent="0.25">
      <c r="B125" s="9"/>
      <c r="C125" s="9"/>
      <c r="D125" s="9"/>
      <c r="E125" s="103"/>
      <c r="F125" s="103"/>
      <c r="G125" s="9"/>
      <c r="H125" s="9"/>
      <c r="I125" s="85"/>
      <c r="J125" s="85"/>
      <c r="K125" s="90"/>
      <c r="L125" s="87"/>
      <c r="M125" s="88"/>
      <c r="N125" s="19" t="str">
        <f t="shared" si="7"/>
        <v xml:space="preserve"> </v>
      </c>
      <c r="O125" s="5" t="str">
        <f>IF(COUNTIF($I$96:$I125,$I125)&gt;1,"Adiantada","")</f>
        <v/>
      </c>
      <c r="P125" s="9"/>
      <c r="Q125" s="9"/>
    </row>
    <row r="126" spans="2:17" x14ac:dyDescent="0.25">
      <c r="B126" s="9"/>
      <c r="C126" s="9"/>
      <c r="D126" s="9"/>
      <c r="E126" s="103"/>
      <c r="F126" s="103"/>
      <c r="G126" s="9"/>
      <c r="H126" s="9"/>
      <c r="I126" s="17" t="s">
        <v>76</v>
      </c>
      <c r="J126" s="126">
        <f ca="1">IF(SUMIF(I112:I125,"Parc." &amp; $X$31,N112:N125) &gt; 0, SUMIF(I112:I125,"Parc." &amp; $X$31,N112:N125), SUM(N112:N125))</f>
        <v>0</v>
      </c>
      <c r="K126" s="127"/>
      <c r="L126" s="128" t="s">
        <v>78</v>
      </c>
      <c r="M126" s="129"/>
      <c r="N126" s="22" t="b">
        <v>0</v>
      </c>
      <c r="O126" s="6" t="str">
        <f>IF(COUNTIF($F$14:$F130,$F130)&gt;1,"Adiantada","")</f>
        <v/>
      </c>
      <c r="P126" s="9"/>
      <c r="Q126" s="9"/>
    </row>
    <row r="127" spans="2:17" x14ac:dyDescent="0.25">
      <c r="B127" s="9"/>
      <c r="C127" s="9"/>
      <c r="D127" s="9"/>
      <c r="E127" s="103"/>
      <c r="F127" s="103"/>
      <c r="G127" s="9"/>
      <c r="H127" s="9"/>
      <c r="I127" s="9"/>
      <c r="J127" s="9"/>
      <c r="K127" s="9"/>
      <c r="L127" s="9"/>
      <c r="M127" s="9"/>
      <c r="N127" s="9"/>
      <c r="O127" s="9" t="str">
        <f>IF(COUNTIF($F$14:$F130,#REF!)&gt;1,"Adiantada","")</f>
        <v/>
      </c>
      <c r="P127" s="9"/>
      <c r="Q127" s="9"/>
    </row>
    <row r="128" spans="2:17" x14ac:dyDescent="0.25">
      <c r="B128" s="9"/>
      <c r="C128" s="9"/>
      <c r="D128" s="9"/>
      <c r="E128" s="103"/>
      <c r="F128" s="103"/>
      <c r="G128" s="9"/>
      <c r="H128" s="9"/>
      <c r="I128" s="9"/>
      <c r="J128" s="9"/>
      <c r="K128" s="9"/>
      <c r="L128" s="9"/>
      <c r="M128" s="9"/>
      <c r="N128" s="9"/>
      <c r="O128" s="9" t="str">
        <f>IF(COUNTIF($F$14:$F130,#REF!)&gt;1,"Adiantada","")</f>
        <v/>
      </c>
      <c r="P128" s="9"/>
      <c r="Q128" s="9"/>
    </row>
    <row r="129" spans="2:17" x14ac:dyDescent="0.2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 t="str">
        <f>IF(COUNTIF($F$14:$F130,#REF!)&gt;1,"Adiantada","")</f>
        <v/>
      </c>
      <c r="P129" s="9"/>
      <c r="Q129" s="9"/>
    </row>
    <row r="130" spans="2:17" x14ac:dyDescent="0.2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</row>
    <row r="131" spans="2:17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2:17" x14ac:dyDescent="0.25">
      <c r="B135" s="1"/>
      <c r="C135" s="1"/>
      <c r="D135" s="1"/>
      <c r="E135" s="1"/>
      <c r="F135" s="1"/>
      <c r="G135" s="1"/>
      <c r="H135" s="1"/>
      <c r="O135" s="1"/>
      <c r="P135" s="1"/>
      <c r="Q135" s="1"/>
    </row>
    <row r="136" spans="2:17" x14ac:dyDescent="0.25">
      <c r="B136" s="1"/>
      <c r="C136" s="1"/>
      <c r="D136" s="1"/>
      <c r="E136" s="1"/>
      <c r="F136" s="1"/>
      <c r="G136" s="1"/>
      <c r="H136" s="1"/>
      <c r="O136" s="1"/>
      <c r="P136" s="1"/>
      <c r="Q136" s="1"/>
    </row>
    <row r="137" spans="2:17" x14ac:dyDescent="0.25">
      <c r="B137" s="1"/>
      <c r="C137" s="1"/>
      <c r="D137" s="1"/>
      <c r="E137" s="1"/>
      <c r="F137" s="1"/>
      <c r="G137" s="1"/>
      <c r="H137" s="1"/>
      <c r="O137" s="1"/>
      <c r="P137" s="1"/>
      <c r="Q137" s="1"/>
    </row>
    <row r="138" spans="2:17" x14ac:dyDescent="0.25">
      <c r="B138" s="1"/>
      <c r="C138" s="1"/>
      <c r="D138" s="1"/>
      <c r="E138" s="1"/>
      <c r="F138" s="1"/>
      <c r="G138" s="1"/>
      <c r="H138" s="1"/>
      <c r="O138" s="1"/>
      <c r="P138" s="1"/>
      <c r="Q138" s="1"/>
    </row>
  </sheetData>
  <sheetProtection sheet="1" objects="1" scenarios="1" autoFilter="0"/>
  <protectedRanges>
    <protectedRange sqref="I94" name="Nome cartão 3"/>
    <protectedRange sqref="I57" name="Nome cartão 2"/>
    <protectedRange sqref="I20" name="Nome cartão 1"/>
    <protectedRange sqref="N126" name="Cartão3 Pagamento"/>
    <protectedRange sqref="I96:M125" name="Cartão3"/>
    <protectedRange sqref="N89" name="Cartão2 Pagamento"/>
    <protectedRange sqref="I59:M88" name="Cartão2"/>
    <protectedRange sqref="I22:M51" name="Cartão1"/>
    <protectedRange sqref="N52" name="Cartão1 Pagamento"/>
    <protectedRange sqref="D14" name="ENTRADA"/>
    <protectedRange sqref="C22:F33" name="Contas Mensais"/>
    <protectedRange sqref="C40:E69" name="Débito"/>
  </protectedRanges>
  <mergeCells count="50">
    <mergeCell ref="E46:F46"/>
    <mergeCell ref="C20:F20"/>
    <mergeCell ref="I20:O20"/>
    <mergeCell ref="D34:F34"/>
    <mergeCell ref="C38:F38"/>
    <mergeCell ref="E39:F39"/>
    <mergeCell ref="E40:F40"/>
    <mergeCell ref="E41:F41"/>
    <mergeCell ref="E42:F42"/>
    <mergeCell ref="E43:F43"/>
    <mergeCell ref="E44:F44"/>
    <mergeCell ref="E45:F45"/>
    <mergeCell ref="E47:F47"/>
    <mergeCell ref="E48:F48"/>
    <mergeCell ref="E49:F49"/>
    <mergeCell ref="E50:F50"/>
    <mergeCell ref="E51:F51"/>
    <mergeCell ref="E61:F61"/>
    <mergeCell ref="J52:K52"/>
    <mergeCell ref="L52:M52"/>
    <mergeCell ref="E53:F53"/>
    <mergeCell ref="E54:F54"/>
    <mergeCell ref="E55:F55"/>
    <mergeCell ref="E56:F56"/>
    <mergeCell ref="E52:F52"/>
    <mergeCell ref="E57:F57"/>
    <mergeCell ref="I57:O57"/>
    <mergeCell ref="E58:F58"/>
    <mergeCell ref="E59:F59"/>
    <mergeCell ref="E60:F60"/>
    <mergeCell ref="E76:F76"/>
    <mergeCell ref="E62:F62"/>
    <mergeCell ref="E63:F63"/>
    <mergeCell ref="E64:F64"/>
    <mergeCell ref="E65:F65"/>
    <mergeCell ref="E66:F66"/>
    <mergeCell ref="E67:F67"/>
    <mergeCell ref="E68:F68"/>
    <mergeCell ref="E69:F69"/>
    <mergeCell ref="D70:F70"/>
    <mergeCell ref="E74:F74"/>
    <mergeCell ref="E75:F75"/>
    <mergeCell ref="J126:K126"/>
    <mergeCell ref="L126:M126"/>
    <mergeCell ref="E77:F77"/>
    <mergeCell ref="E78:F78"/>
    <mergeCell ref="E79:F79"/>
    <mergeCell ref="J89:K89"/>
    <mergeCell ref="L89:M89"/>
    <mergeCell ref="I94:O94"/>
  </mergeCells>
  <conditionalFormatting sqref="C22:F33">
    <cfRule type="expression" dxfId="35" priority="25">
      <formula>$F22="Pago"</formula>
    </cfRule>
  </conditionalFormatting>
  <conditionalFormatting sqref="L52:M52">
    <cfRule type="expression" dxfId="34" priority="28">
      <formula>$N$52=TRUE</formula>
    </cfRule>
  </conditionalFormatting>
  <conditionalFormatting sqref="L89:M89">
    <cfRule type="expression" dxfId="33" priority="27">
      <formula>$N$89=TRUE</formula>
    </cfRule>
  </conditionalFormatting>
  <conditionalFormatting sqref="L126:M126">
    <cfRule type="expression" dxfId="32" priority="26">
      <formula>$N$126=TRUE</formula>
    </cfRule>
  </conditionalFormatting>
  <conditionalFormatting sqref="C74:F90">
    <cfRule type="expression" dxfId="31" priority="29">
      <formula>$E74&lt;&gt;""</formula>
    </cfRule>
    <cfRule type="expression" dxfId="30" priority="30">
      <formula>$E74=""</formula>
    </cfRule>
  </conditionalFormatting>
  <conditionalFormatting sqref="I22:N51">
    <cfRule type="expression" dxfId="29" priority="31">
      <formula>AND(COUNTIF($I$22:$N$51,"Parc." &amp; $X$31)&gt;0,$I22&lt;&gt;"Parc." &amp; $X$31,$I22&lt;&gt;"")</formula>
    </cfRule>
    <cfRule type="expression" dxfId="28" priority="32">
      <formula>$N$52=TRUE</formula>
    </cfRule>
  </conditionalFormatting>
  <conditionalFormatting sqref="I59:N88">
    <cfRule type="expression" dxfId="27" priority="33">
      <formula>$N$89=TRUE</formula>
    </cfRule>
    <cfRule type="expression" dxfId="26" priority="34">
      <formula>AND(COUNTIF($I$59:$N$88,"Parc." &amp; $X$31)&gt;0,$I59&lt;&gt;"Parc." &amp; $X$31,$I59&lt;&gt;"")</formula>
    </cfRule>
  </conditionalFormatting>
  <conditionalFormatting sqref="I96:N125">
    <cfRule type="expression" dxfId="25" priority="35">
      <formula>$N$126=TRUE</formula>
    </cfRule>
    <cfRule type="expression" dxfId="24" priority="36">
      <formula>AND(COUNTIF($I$112:$N$125,"Parc." &amp; $X$31)&gt;0,$I96&lt;&gt;"Parc." &amp; $X$31,$I96&lt;&gt;"")</formula>
    </cfRule>
  </conditionalFormatting>
  <conditionalFormatting sqref="L22:M51">
    <cfRule type="expression" dxfId="23" priority="3">
      <formula>AND($M22&gt;1, $M22=$L22)</formula>
    </cfRule>
  </conditionalFormatting>
  <conditionalFormatting sqref="L59:M88">
    <cfRule type="expression" dxfId="22" priority="2">
      <formula>AND($M59&gt;1, $M59=$L59)</formula>
    </cfRule>
  </conditionalFormatting>
  <conditionalFormatting sqref="L96:M125">
    <cfRule type="expression" dxfId="21" priority="1">
      <formula>AND($M96&gt;1, $M96=$L96)</formula>
    </cfRule>
  </conditionalFormatting>
  <dataValidations count="2">
    <dataValidation type="list" allowBlank="1" showInputMessage="1" showErrorMessage="1" sqref="F22:F33" xr:uid="{3674D5CD-100F-41C7-9C90-C7B7874FA992}">
      <formula1>"Pago"</formula1>
    </dataValidation>
    <dataValidation type="list" allowBlank="1" showInputMessage="1" showErrorMessage="1" sqref="J59:J88 J96:J125 D40:D69 J22:J51 D22:D33" xr:uid="{155A9BF6-A8FC-4768-895E-3F474F404729}">
      <formula1>ListaValida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350F8CBD-CE3A-4F92-BD28-D2BA8BABD51B}">
            <xm:f>AND(Personalização!$D$8="Escuro", $N$52=TRUE)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L52:M52</xm:sqref>
        </x14:conditionalFormatting>
        <x14:conditionalFormatting xmlns:xm="http://schemas.microsoft.com/office/excel/2006/main">
          <x14:cfRule type="expression" priority="10" id="{AC10436C-D51A-4D1F-AF4D-72497F4925D8}">
            <xm:f>AND(Personalização!$D$8="Escuro", $F22="Pago")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C22:F33</xm:sqref>
        </x14:conditionalFormatting>
        <x14:conditionalFormatting xmlns:xm="http://schemas.microsoft.com/office/excel/2006/main">
          <x14:cfRule type="expression" priority="16" id="{3726B245-BEE5-400C-A517-6FEA9F108692}">
            <xm:f>AND(Personalização!$D$8="Escuro", $N$89=TRUE)</xm:f>
            <x14:dxf>
              <font>
                <color theme="0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L89:M89</xm:sqref>
        </x14:conditionalFormatting>
        <x14:conditionalFormatting xmlns:xm="http://schemas.microsoft.com/office/excel/2006/main">
          <x14:cfRule type="expression" priority="15" id="{5850ADCE-D45E-488C-BB94-A3612761F2CB}">
            <xm:f>AND(Personalização!$D$8="Escuro", $N$126=TRUE)</xm:f>
            <x14:dxf>
              <font>
                <color theme="0"/>
              </font>
            </x14:dxf>
          </x14:cfRule>
          <xm:sqref>L126:M126</xm:sqref>
        </x14:conditionalFormatting>
        <x14:conditionalFormatting xmlns:xm="http://schemas.microsoft.com/office/excel/2006/main">
          <x14:cfRule type="expression" priority="4" id="{A2B12493-EFC1-43F5-BEFC-E72A99C32D36}">
            <xm:f>AND(Personalização!$D$8="Escuro", $E74="")</xm:f>
            <x14:dxf>
              <font>
                <color rgb="FF626262"/>
              </font>
              <fill>
                <patternFill>
                  <bgColor rgb="FF62626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19" id="{BA708216-AF30-45AE-9E15-D54737C84F1F}">
            <xm:f>AND(Personalização!$D$8="Escuro", $E$74&lt;&gt;"")</xm:f>
            <x14:dxf>
              <fill>
                <patternFill>
                  <bgColor rgb="FF40404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C74:F90</xm:sqref>
        </x14:conditionalFormatting>
        <x14:conditionalFormatting xmlns:xm="http://schemas.microsoft.com/office/excel/2006/main">
          <x14:cfRule type="expression" priority="18" id="{11565D47-EB14-44F3-934C-E1661C932EBD}">
            <xm:f>Personalização!$D$8="Escuro"</xm:f>
            <x14:dxf>
              <font>
                <color theme="0"/>
              </font>
            </x14:dxf>
          </x14:cfRule>
          <x14:cfRule type="expression" priority="24" id="{39682273-3D8B-4B9D-B0FF-B79958453E73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3" id="{CE46CDCB-82FA-4724-B163-8683A3B2F064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B5:Q132</xm:sqref>
        </x14:conditionalFormatting>
        <x14:conditionalFormatting xmlns:xm="http://schemas.microsoft.com/office/excel/2006/main">
          <x14:cfRule type="expression" priority="20" id="{6918A5F4-A940-4F6A-9746-C79AA6969F22}">
            <xm:f>Personalização!$D$8="Escuro"</xm:f>
            <x14:dxf>
              <fill>
                <patternFill>
                  <bgColor rgb="FF4A4A4A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 C16:D16 C20:F20 C34:F34 I20:O20 C38 I52:N52 C70:D70 I57:O57 I89:N89 I94:O94 I126:N126</xm:sqref>
        </x14:conditionalFormatting>
        <x14:conditionalFormatting xmlns:xm="http://schemas.microsoft.com/office/excel/2006/main">
          <x14:cfRule type="expression" priority="21" id="{9D8E2343-1B84-4FA1-B002-23283DD883FE}">
            <xm:f>Personalização!$D$8="Escuro"</xm:f>
            <x14:dxf>
              <fill>
                <patternFill>
                  <bgColor rgb="FF626262"/>
                </patternFill>
              </fill>
            </x14:dxf>
          </x14:cfRule>
          <xm:sqref>C21:F21 I21:N21 C39:E39 I58:N58 I95:N95</xm:sqref>
        </x14:conditionalFormatting>
        <x14:conditionalFormatting xmlns:xm="http://schemas.microsoft.com/office/excel/2006/main">
          <x14:cfRule type="expression" priority="13" id="{E55EA1F1-55AD-4B63-B0ED-917109961A6D}">
            <xm:f>Personalização!$D$8="Escuro"</xm:f>
            <x14:dxf>
              <fill>
                <patternFill>
                  <bgColor rgb="FF404040"/>
                </patternFill>
              </fill>
            </x14:dxf>
          </x14:cfRule>
          <xm:sqref>C22:F33 C40:F69 C17:D17 D14 I22:O51 I59:O88 I96:O125</xm:sqref>
        </x14:conditionalFormatting>
        <x14:conditionalFormatting xmlns:xm="http://schemas.microsoft.com/office/excel/2006/main">
          <x14:cfRule type="expression" priority="22" id="{BD3E3254-0AA9-4FC5-8DEB-13BBA0292316}">
            <xm:f>Personalização!$D$8="Escuro"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C14:D14 C16:D17 C20:F34 C38 C39:E69 C70:D70 I20:O52 I57:O89 I94:O126</xm:sqref>
        </x14:conditionalFormatting>
        <x14:conditionalFormatting xmlns:xm="http://schemas.microsoft.com/office/excel/2006/main">
          <x14:cfRule type="expression" priority="17" id="{1B89DF40-E39F-4541-97D3-E31B3BDB82DD}">
            <xm:f>Personalização!$D$8="Escuro"</xm:f>
            <x14:dxf>
              <font>
                <color rgb="FF757575"/>
              </font>
            </x14:dxf>
          </x14:cfRule>
          <xm:sqref>L52:M52 L89:M89 L126:M126</xm:sqref>
        </x14:conditionalFormatting>
        <x14:conditionalFormatting xmlns:xm="http://schemas.microsoft.com/office/excel/2006/main">
          <x14:cfRule type="expression" priority="7" id="{A20C31C0-76AC-433C-9E96-C392ABA39F3D}">
            <xm:f>AND(Personalização!$D$8="Escuro", $D$17&lt;1)</xm:f>
            <x14:dxf>
              <fill>
                <patternFill>
                  <bgColor rgb="FFEF7771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CF65697-284B-4FED-94F4-C6EA37507837}">
            <xm:f>AND(Personalização!$D$8="Escuro", $N$89=TRUE)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I59:N88</xm:sqref>
        </x14:conditionalFormatting>
        <x14:conditionalFormatting xmlns:xm="http://schemas.microsoft.com/office/excel/2006/main">
          <x14:cfRule type="expression" priority="8" id="{AC52DF98-4F59-466B-8521-A8660CFB40E6}">
            <xm:f>AND(Personalização!$D$8="Escuro", COUNTIF($I$112:$N$125,"Parc." &amp; $X$31)&gt;0,$I96&lt;&gt;"Parc." &amp; $X$31,$I96&lt;&gt;"")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12" id="{F5BC0B57-28CE-4BD1-8D27-06230E4667F7}">
            <xm:f>AND(Personalização!$D$8="Escuro", $N$126=TRUE)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I96:N125</xm:sqref>
        </x14:conditionalFormatting>
        <x14:conditionalFormatting xmlns:xm="http://schemas.microsoft.com/office/excel/2006/main">
          <x14:cfRule type="expression" priority="6" id="{B29757BF-AF6A-4AAF-B055-7D306E83A259}">
            <xm:f>AND(Personalização!$D$8="Escuro", COUNTIF($I$22:$N$51,"Parc." &amp; $X$31)&gt;0,$I22&lt;&gt;"Parc." &amp; $X$31,$I22&lt;&gt;"")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14:cfRule type="expression" priority="9" id="{AF4A4186-6147-468C-AFAA-0350139DE55D}">
            <xm:f>AND(Personalização!$D$8="Escuro", $N$52=TRUE)</xm:f>
            <x14:dxf>
              <font>
                <color theme="0"/>
              </font>
              <fill>
                <patternFill>
                  <bgColor rgb="FF3E5C7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I22:O51</xm:sqref>
        </x14:conditionalFormatting>
        <x14:conditionalFormatting xmlns:xm="http://schemas.microsoft.com/office/excel/2006/main">
          <x14:cfRule type="expression" priority="5" id="{E6A2C7DE-184C-44B3-BB9D-52F882807947}">
            <xm:f>AND(Personalização!$D$8="Escuro", COUNTIF($I$59:$N$88,"Parc." &amp; $X$31)&gt;0,$I59&lt;&gt;"Parc." &amp; $X$31,$I59&lt;&gt;"")</xm:f>
            <x14:dxf>
              <font>
                <color theme="1"/>
              </font>
              <fill>
                <patternFill>
                  <bgColor rgb="FFF08080"/>
                </patternFill>
              </fill>
            </x14:dxf>
          </x14:cfRule>
          <xm:sqref>I59:O88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d9a6512-864b-4c74-b623-79016bcba6c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2DBE65DF1DC7145A689B496C963F0D8" ma:contentTypeVersion="6" ma:contentTypeDescription="Crie um novo documento." ma:contentTypeScope="" ma:versionID="fb6bcb666644f485f0add23046f6d5c9">
  <xsd:schema xmlns:xsd="http://www.w3.org/2001/XMLSchema" xmlns:xs="http://www.w3.org/2001/XMLSchema" xmlns:p="http://schemas.microsoft.com/office/2006/metadata/properties" xmlns:ns3="fd9a6512-864b-4c74-b623-79016bcba6cc" targetNamespace="http://schemas.microsoft.com/office/2006/metadata/properties" ma:root="true" ma:fieldsID="a0cb3ef44563b55f2f97e7a33da94ad3" ns3:_="">
    <xsd:import namespace="fd9a6512-864b-4c74-b623-79016bcba6cc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9a6512-864b-4c74-b623-79016bcba6cc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EA7AE22-A30C-4B77-AE82-C7021C0D4FD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5C4C232-B129-4966-8673-301A92D13F61}">
  <ds:schemaRefs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fd9a6512-864b-4c74-b623-79016bcba6cc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E8970D08-0CE2-486F-9D14-8F276343FA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9a6512-864b-4c74-b623-79016bcba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27</vt:i4>
      </vt:variant>
    </vt:vector>
  </HeadingPairs>
  <TitlesOfParts>
    <vt:vector size="27" baseType="lpstr">
      <vt:lpstr>Dados</vt:lpstr>
      <vt:lpstr>Personalização</vt:lpstr>
      <vt:lpstr>Gráfico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FABRICIO DE OLIVEIRA BIMBI</dc:creator>
  <cp:keywords/>
  <dc:description/>
  <cp:lastModifiedBy>FABRICIO DE OLIVEIRA BIMBI</cp:lastModifiedBy>
  <cp:revision/>
  <dcterms:created xsi:type="dcterms:W3CDTF">2024-10-19T02:36:11Z</dcterms:created>
  <dcterms:modified xsi:type="dcterms:W3CDTF">2025-01-26T23:51:06Z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0x01010062DBE65DF1DC7145A689B496C963F0D8</vt:lpwstr>
  </property>
</Properties>
</file>